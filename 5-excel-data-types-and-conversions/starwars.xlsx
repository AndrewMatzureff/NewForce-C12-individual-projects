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yvanvalkenburg/NSS/DDA1/"/>
    </mc:Choice>
  </mc:AlternateContent>
  <xr:revisionPtr revIDLastSave="174" documentId="8_{5B996D39-A8F4-3241-8F2D-45DFE2E5CD5E}" xr6:coauthVersionLast="47" xr6:coauthVersionMax="47" xr10:uidLastSave="{5D1F343A-5810-4F05-9D44-2F41E00E4C6E}"/>
  <bookViews>
    <workbookView xWindow="3900" yWindow="2260" windowWidth="28040" windowHeight="17440" activeTab="2" xr2:uid="{00000000-000D-0000-FFFF-FFFF00000000}"/>
  </bookViews>
  <sheets>
    <sheet name="starwars" sheetId="1" r:id="rId1"/>
    <sheet name="data_dictionary" sheetId="2" r:id="rId2"/>
    <sheet name="excercise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P2" i="1"/>
  <c r="P3" i="1" a="1"/>
  <c r="P3" i="1"/>
  <c r="P4" i="1" a="1"/>
  <c r="P4" i="1"/>
  <c r="P5" i="1" a="1"/>
  <c r="P5" i="1"/>
  <c r="P6" i="1" a="1"/>
  <c r="P6" i="1"/>
  <c r="P7" i="1" a="1"/>
  <c r="P7" i="1"/>
  <c r="P8" i="1" a="1"/>
  <c r="P8" i="1"/>
  <c r="P9" i="1" a="1"/>
  <c r="P9" i="1"/>
  <c r="P10" i="1" a="1"/>
  <c r="P10" i="1"/>
  <c r="P11" i="1" a="1"/>
  <c r="P11" i="1"/>
  <c r="P12" i="1" a="1"/>
  <c r="P12" i="1"/>
  <c r="P13" i="1" a="1"/>
  <c r="P13" i="1"/>
  <c r="P14" i="1" a="1"/>
  <c r="P14" i="1"/>
  <c r="P15" i="1" a="1"/>
  <c r="P15" i="1"/>
  <c r="P16" i="1" a="1"/>
  <c r="P16" i="1"/>
  <c r="P17" i="1" a="1"/>
  <c r="P17" i="1"/>
  <c r="P18" i="1" a="1"/>
  <c r="P18" i="1"/>
  <c r="P19" i="1" a="1"/>
  <c r="P19" i="1"/>
  <c r="P20" i="1" a="1"/>
  <c r="P20" i="1"/>
  <c r="P21" i="1" a="1"/>
  <c r="P21" i="1"/>
  <c r="P22" i="1" a="1"/>
  <c r="P22" i="1"/>
  <c r="P23" i="1" a="1"/>
  <c r="P23" i="1"/>
  <c r="P24" i="1" a="1"/>
  <c r="P24" i="1"/>
  <c r="P25" i="1" a="1"/>
  <c r="P25" i="1"/>
  <c r="P26" i="1" a="1"/>
  <c r="P26" i="1"/>
  <c r="P27" i="1" a="1"/>
  <c r="P27" i="1"/>
  <c r="P28" i="1" a="1"/>
  <c r="P28" i="1"/>
  <c r="P29" i="1" a="1"/>
  <c r="P29" i="1"/>
  <c r="P30" i="1" a="1"/>
  <c r="P30" i="1"/>
  <c r="P31" i="1" a="1"/>
  <c r="P31" i="1"/>
  <c r="P32" i="1" a="1"/>
  <c r="P32" i="1"/>
  <c r="P33" i="1" a="1"/>
  <c r="P33" i="1"/>
  <c r="P34" i="1" a="1"/>
  <c r="P34" i="1"/>
  <c r="P35" i="1" a="1"/>
  <c r="P35" i="1"/>
  <c r="P36" i="1" a="1"/>
  <c r="P36" i="1"/>
  <c r="P37" i="1" a="1"/>
  <c r="P37" i="1"/>
  <c r="P38" i="1" a="1"/>
  <c r="P38" i="1"/>
  <c r="P39" i="1" a="1"/>
  <c r="P39" i="1"/>
  <c r="P40" i="1" a="1"/>
  <c r="P40" i="1"/>
  <c r="P41" i="1" a="1"/>
  <c r="P41" i="1"/>
  <c r="P42" i="1" a="1"/>
  <c r="P42" i="1"/>
  <c r="P43" i="1" a="1"/>
  <c r="P43" i="1"/>
  <c r="P44" i="1" a="1"/>
  <c r="P44" i="1"/>
  <c r="P45" i="1" a="1"/>
  <c r="P45" i="1"/>
  <c r="P46" i="1" a="1"/>
  <c r="P46" i="1"/>
  <c r="P47" i="1" a="1"/>
  <c r="P47" i="1"/>
  <c r="P48" i="1" a="1"/>
  <c r="P48" i="1"/>
  <c r="P49" i="1" a="1"/>
  <c r="P49" i="1"/>
  <c r="P50" i="1" a="1"/>
  <c r="P50" i="1"/>
  <c r="P51" i="1" a="1"/>
  <c r="P51" i="1"/>
  <c r="P52" i="1" a="1"/>
  <c r="P52" i="1"/>
  <c r="P53" i="1" a="1"/>
  <c r="P53" i="1"/>
  <c r="P54" i="1" a="1"/>
  <c r="P54" i="1"/>
  <c r="P55" i="1" a="1"/>
  <c r="P55" i="1"/>
  <c r="P56" i="1" a="1"/>
  <c r="P56" i="1"/>
  <c r="P57" i="1" a="1"/>
  <c r="P57" i="1"/>
  <c r="P58" i="1" a="1"/>
  <c r="P58" i="1"/>
  <c r="P59" i="1" a="1"/>
  <c r="P59" i="1"/>
  <c r="P60" i="1" a="1"/>
  <c r="P60" i="1"/>
  <c r="P61" i="1" a="1"/>
  <c r="P61" i="1"/>
  <c r="P62" i="1" a="1"/>
  <c r="P62" i="1"/>
  <c r="P63" i="1" a="1"/>
  <c r="P63" i="1"/>
  <c r="P64" i="1" a="1"/>
  <c r="P64" i="1"/>
  <c r="P65" i="1" a="1"/>
  <c r="P65" i="1"/>
  <c r="P66" i="1" a="1"/>
  <c r="P66" i="1"/>
  <c r="P67" i="1" a="1"/>
  <c r="P67" i="1"/>
  <c r="P68" i="1" a="1"/>
  <c r="P68" i="1"/>
  <c r="P69" i="1" a="1"/>
  <c r="P69" i="1"/>
  <c r="P70" i="1" a="1"/>
  <c r="P70" i="1"/>
  <c r="P71" i="1" a="1"/>
  <c r="P71" i="1"/>
  <c r="P72" i="1" a="1"/>
  <c r="P72" i="1"/>
  <c r="P73" i="1" a="1"/>
  <c r="P73" i="1"/>
  <c r="P74" i="1" a="1"/>
  <c r="P74" i="1"/>
  <c r="P75" i="1" a="1"/>
  <c r="P75" i="1"/>
  <c r="P76" i="1" a="1"/>
  <c r="P76" i="1"/>
  <c r="P77" i="1" a="1"/>
  <c r="P77" i="1"/>
  <c r="P78" i="1" a="1"/>
  <c r="P78" i="1"/>
  <c r="P79" i="1" a="1"/>
  <c r="P79" i="1"/>
  <c r="P80" i="1" a="1"/>
  <c r="P80" i="1"/>
  <c r="P81" i="1" a="1"/>
  <c r="P81" i="1"/>
  <c r="P82" i="1" a="1"/>
  <c r="P82" i="1"/>
  <c r="P83" i="1" a="1"/>
  <c r="P83" i="1"/>
  <c r="P84" i="1" a="1"/>
  <c r="P84" i="1"/>
  <c r="P85" i="1" a="1"/>
  <c r="P85" i="1"/>
  <c r="P86" i="1" a="1"/>
  <c r="P86" i="1"/>
  <c r="P87" i="1" a="1"/>
  <c r="P87" i="1"/>
  <c r="P88" i="1" a="1"/>
  <c r="P88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M2" i="1" s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E13" i="1"/>
  <c r="E28" i="1"/>
  <c r="E29" i="1"/>
  <c r="E34" i="1"/>
  <c r="E37" i="1"/>
  <c r="E38" i="1"/>
  <c r="E39" i="1"/>
  <c r="E41" i="1"/>
  <c r="E42" i="1"/>
  <c r="E44" i="1"/>
  <c r="E47" i="1"/>
  <c r="E52" i="1"/>
  <c r="E54" i="1"/>
  <c r="E55" i="1"/>
  <c r="E57" i="1"/>
  <c r="E59" i="1"/>
  <c r="E60" i="1"/>
  <c r="E64" i="1"/>
  <c r="E66" i="1"/>
  <c r="E71" i="1"/>
  <c r="E72" i="1"/>
  <c r="E74" i="1"/>
  <c r="E76" i="1"/>
  <c r="E83" i="1"/>
  <c r="E84" i="1"/>
  <c r="E85" i="1"/>
  <c r="E86" i="1"/>
  <c r="E87" i="1"/>
  <c r="C2" i="1"/>
  <c r="E2" i="1" s="1"/>
  <c r="C3" i="1"/>
  <c r="E3" i="1" s="1"/>
  <c r="C4" i="1"/>
  <c r="E4" i="1" s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E88" i="1" l="1"/>
  <c r="E82" i="1"/>
  <c r="E81" i="1"/>
  <c r="E80" i="1"/>
  <c r="E79" i="1"/>
  <c r="E78" i="1"/>
  <c r="E77" i="1"/>
  <c r="E75" i="1"/>
  <c r="E73" i="1"/>
  <c r="E70" i="1"/>
  <c r="E69" i="1"/>
  <c r="E68" i="1"/>
  <c r="E67" i="1"/>
  <c r="E65" i="1"/>
  <c r="E63" i="1"/>
  <c r="E62" i="1"/>
  <c r="E61" i="1"/>
  <c r="E58" i="1"/>
  <c r="E56" i="1"/>
  <c r="E53" i="1"/>
  <c r="E51" i="1"/>
  <c r="E50" i="1"/>
  <c r="E49" i="1"/>
  <c r="E48" i="1"/>
  <c r="E46" i="1"/>
  <c r="E45" i="1"/>
  <c r="E43" i="1"/>
  <c r="E40" i="1"/>
  <c r="E36" i="1"/>
  <c r="E35" i="1"/>
  <c r="E33" i="1"/>
  <c r="E32" i="1"/>
  <c r="E31" i="1"/>
  <c r="E30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2" i="1"/>
  <c r="E11" i="1"/>
  <c r="E10" i="1"/>
  <c r="E9" i="1"/>
  <c r="E8" i="1"/>
  <c r="E7" i="1"/>
  <c r="E6" i="1"/>
  <c r="E5" i="1"/>
  <c r="G4" i="1"/>
  <c r="G3" i="1"/>
  <c r="C10" i="3" a="1"/>
  <c r="C10" i="3" s="1"/>
  <c r="G2" i="1"/>
  <c r="G13" i="1"/>
  <c r="G28" i="1"/>
  <c r="G29" i="1"/>
  <c r="G34" i="1"/>
  <c r="G37" i="1"/>
  <c r="G38" i="1"/>
  <c r="G39" i="1"/>
  <c r="G41" i="1"/>
  <c r="G42" i="1"/>
  <c r="G44" i="1"/>
  <c r="G47" i="1"/>
  <c r="G52" i="1"/>
  <c r="G54" i="1"/>
  <c r="G55" i="1"/>
  <c r="G57" i="1"/>
  <c r="G59" i="1"/>
  <c r="G60" i="1"/>
  <c r="G64" i="1"/>
  <c r="G66" i="1"/>
  <c r="G71" i="1"/>
  <c r="G72" i="1"/>
  <c r="G74" i="1"/>
  <c r="G76" i="1"/>
  <c r="G83" i="1"/>
  <c r="G84" i="1"/>
  <c r="G85" i="1"/>
  <c r="G86" i="1"/>
  <c r="G87" i="1"/>
  <c r="F4" i="1"/>
  <c r="F3" i="1"/>
  <c r="F2" i="1"/>
  <c r="G5" i="1" l="1"/>
  <c r="F87" i="1"/>
  <c r="F86" i="1"/>
  <c r="F85" i="1"/>
  <c r="F84" i="1"/>
  <c r="F83" i="1"/>
  <c r="F76" i="1"/>
  <c r="F74" i="1"/>
  <c r="F72" i="1"/>
  <c r="F71" i="1"/>
  <c r="F66" i="1"/>
  <c r="F64" i="1"/>
  <c r="F60" i="1"/>
  <c r="F59" i="1"/>
  <c r="F57" i="1"/>
  <c r="F55" i="1"/>
  <c r="F54" i="1"/>
  <c r="F52" i="1"/>
  <c r="F47" i="1"/>
  <c r="F44" i="1"/>
  <c r="F42" i="1"/>
  <c r="F41" i="1"/>
  <c r="F39" i="1"/>
  <c r="F38" i="1"/>
  <c r="F37" i="1"/>
  <c r="F34" i="1"/>
  <c r="F29" i="1"/>
  <c r="F28" i="1"/>
  <c r="F13" i="1"/>
  <c r="F5" i="1"/>
  <c r="G6" i="1"/>
  <c r="F6" i="1"/>
  <c r="G7" i="1"/>
  <c r="F7" i="1"/>
  <c r="G8" i="1"/>
  <c r="F8" i="1"/>
  <c r="G9" i="1"/>
  <c r="F9" i="1"/>
  <c r="G10" i="1"/>
  <c r="F10" i="1"/>
  <c r="G11" i="1"/>
  <c r="F11" i="1"/>
  <c r="G12" i="1"/>
  <c r="F12" i="1"/>
  <c r="G14" i="1"/>
  <c r="F14" i="1"/>
  <c r="G15" i="1"/>
  <c r="F15" i="1"/>
  <c r="G16" i="1"/>
  <c r="F16" i="1"/>
  <c r="G17" i="1"/>
  <c r="F17" i="1"/>
  <c r="G18" i="1"/>
  <c r="F18" i="1"/>
  <c r="G19" i="1"/>
  <c r="F19" i="1"/>
  <c r="G20" i="1"/>
  <c r="F20" i="1"/>
  <c r="G21" i="1"/>
  <c r="F21" i="1"/>
  <c r="G22" i="1"/>
  <c r="F22" i="1"/>
  <c r="G23" i="1"/>
  <c r="F23" i="1"/>
  <c r="G24" i="1"/>
  <c r="F24" i="1"/>
  <c r="G25" i="1"/>
  <c r="F25" i="1"/>
  <c r="G26" i="1"/>
  <c r="F26" i="1"/>
  <c r="G27" i="1"/>
  <c r="F27" i="1"/>
  <c r="G30" i="1"/>
  <c r="F30" i="1"/>
  <c r="G31" i="1"/>
  <c r="F31" i="1"/>
  <c r="G32" i="1"/>
  <c r="F32" i="1"/>
  <c r="G33" i="1"/>
  <c r="F33" i="1"/>
  <c r="G35" i="1"/>
  <c r="F35" i="1"/>
  <c r="G36" i="1"/>
  <c r="F36" i="1"/>
  <c r="G40" i="1"/>
  <c r="F40" i="1"/>
  <c r="G43" i="1"/>
  <c r="F43" i="1"/>
  <c r="G45" i="1"/>
  <c r="F45" i="1"/>
  <c r="G46" i="1"/>
  <c r="F46" i="1"/>
  <c r="G48" i="1"/>
  <c r="F48" i="1"/>
  <c r="G49" i="1"/>
  <c r="F49" i="1"/>
  <c r="G50" i="1"/>
  <c r="F50" i="1"/>
  <c r="G51" i="1"/>
  <c r="F51" i="1"/>
  <c r="G53" i="1"/>
  <c r="F53" i="1"/>
  <c r="G56" i="1"/>
  <c r="F56" i="1"/>
  <c r="G58" i="1"/>
  <c r="F58" i="1"/>
  <c r="G61" i="1"/>
  <c r="F61" i="1"/>
  <c r="G62" i="1"/>
  <c r="F62" i="1"/>
  <c r="G63" i="1"/>
  <c r="F63" i="1"/>
  <c r="G65" i="1"/>
  <c r="F65" i="1"/>
  <c r="G67" i="1"/>
  <c r="F67" i="1"/>
  <c r="G68" i="1"/>
  <c r="F68" i="1"/>
  <c r="G69" i="1"/>
  <c r="F69" i="1"/>
  <c r="G70" i="1"/>
  <c r="F70" i="1"/>
  <c r="G73" i="1"/>
  <c r="F73" i="1"/>
  <c r="G75" i="1"/>
  <c r="F75" i="1"/>
  <c r="G77" i="1"/>
  <c r="F77" i="1"/>
  <c r="G78" i="1"/>
  <c r="F78" i="1"/>
  <c r="G79" i="1"/>
  <c r="F79" i="1"/>
  <c r="G80" i="1"/>
  <c r="F80" i="1"/>
  <c r="G81" i="1"/>
  <c r="F81" i="1"/>
  <c r="G82" i="1"/>
  <c r="F82" i="1"/>
  <c r="G88" i="1"/>
  <c r="F8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<sst xmlns="http://schemas.openxmlformats.org/spreadsheetml/2006/main" count="751" uniqueCount="297">
  <si>
    <t>name</t>
  </si>
  <si>
    <t>height</t>
  </si>
  <si>
    <t>height_m</t>
  </si>
  <si>
    <t>mass</t>
  </si>
  <si>
    <t>BMI</t>
  </si>
  <si>
    <t>compare_BMI_DV</t>
  </si>
  <si>
    <t>BMI_rank</t>
  </si>
  <si>
    <t>hair_color</t>
  </si>
  <si>
    <t>skin_color</t>
  </si>
  <si>
    <t>eye_color</t>
  </si>
  <si>
    <t>age</t>
  </si>
  <si>
    <t>age_days</t>
  </si>
  <si>
    <t>birthdate</t>
  </si>
  <si>
    <t>homeworld</t>
  </si>
  <si>
    <t>species</t>
  </si>
  <si>
    <t>first_movie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</si>
  <si>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</si>
  <si>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</si>
  <si>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</si>
  <si>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</si>
  <si>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</si>
  <si>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</si>
  <si>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</si>
  <si>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</si>
  <si>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</si>
  <si>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</si>
  <si>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</si>
  <si>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</si>
  <si>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</si>
  <si>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</si>
  <si>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</si>
  <si>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</si>
  <si>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</si>
  <si>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</si>
  <si>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</si>
  <si>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</si>
  <si>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</si>
  <si>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</si>
  <si>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</si>
  <si>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</si>
  <si>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</si>
  <si>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</si>
  <si>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</si>
  <si>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</si>
  <si>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</si>
  <si>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</si>
  <si>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</si>
  <si>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</si>
  <si>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</si>
  <si>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</si>
  <si>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</si>
  <si>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</si>
  <si>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</si>
  <si>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</si>
  <si>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</si>
  <si>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</si>
  <si>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</si>
  <si>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</si>
  <si>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</si>
  <si>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</si>
  <si>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</si>
  <si>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</si>
  <si>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</si>
  <si>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</si>
  <si>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</si>
  <si>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</si>
  <si>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</si>
  <si>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</si>
  <si>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</si>
  <si>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</si>
  <si>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</si>
  <si>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</si>
  <si>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</si>
  <si>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</si>
  <si>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</si>
  <si>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</si>
  <si>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</si>
  <si>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</si>
  <si>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</si>
  <si>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</si>
  <si>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</si>
  <si>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</si>
  <si>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</si>
  <si>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</si>
  <si>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</si>
  <si>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</si>
  <si>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</si>
  <si>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</si>
  <si>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</si>
  <si>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</si>
  <si>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</si>
  <si>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</si>
  <si>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</si>
  <si>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</si>
  <si>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</si>
  <si>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</si>
  <si>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</si>
  <si>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</si>
  <si>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</si>
  <si>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</si>
  <si>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</si>
  <si>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</si>
  <si>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</si>
  <si>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</si>
  <si>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</si>
  <si>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</si>
  <si>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</si>
  <si>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</si>
  <si>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</si>
  <si>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</si>
  <si>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</si>
  <si>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</si>
  <si>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</si>
  <si>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</si>
  <si>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</si>
  <si>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</si>
  <si>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</si>
  <si>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</si>
  <si>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</si>
  <si>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</si>
  <si>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</si>
  <si>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</si>
  <si>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</si>
  <si>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</si>
  <si>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</si>
  <si>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</si>
  <si>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</si>
  <si>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</si>
  <si>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</si>
  <si>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</si>
  <si>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</si>
  <si>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</si>
  <si>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</si>
  <si>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</si>
  <si>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</si>
  <si>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</si>
  <si>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</si>
  <si>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</si>
  <si>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</si>
  <si>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</si>
  <si>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</si>
  <si>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</si>
  <si>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</si>
  <si>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</si>
  <si>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</si>
  <si>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</si>
  <si>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</si>
  <si>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</si>
  <si>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</si>
  <si>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</si>
  <si>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</si>
  <si>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</si>
  <si>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</si>
  <si>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</si>
  <si>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</si>
  <si>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</si>
  <si>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</si>
  <si>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</si>
  <si>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</si>
  <si>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</si>
  <si>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</si>
  <si>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</si>
  <si>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</si>
  <si>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</si>
  <si>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</si>
  <si>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</si>
  <si>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</si>
  <si>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</si>
  <si>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</si>
  <si>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</si>
  <si>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</si>
  <si>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</si>
  <si>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</si>
  <si>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</si>
  <si>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</si>
  <si>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</si>
  <si>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</si>
  <si>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</si>
  <si>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</si>
  <si>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</si>
  <si>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</si>
  <si>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</si>
  <si>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</si>
  <si>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</si>
  <si>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</si>
  <si>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</si>
  <si>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</si>
  <si>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</si>
  <si>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</si>
  <si>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</si>
  <si>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</si>
  <si>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</si>
  <si>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</si>
  <si>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</si>
  <si>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</si>
  <si>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</si>
  <si>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</si>
  <si>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</si>
  <si>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</si>
  <si>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</si>
  <si>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</si>
  <si>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</si>
  <si>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</si>
  <si>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</si>
  <si>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</si>
  <si>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</si>
  <si>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</si>
  <si>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</si>
  <si>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</si>
  <si>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</si>
  <si>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</si>
  <si>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</si>
  <si>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</si>
  <si>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</si>
  <si>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</si>
  <si>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</si>
  <si>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</si>
  <si>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</si>
  <si>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</si>
  <si>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</si>
  <si>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</si>
  <si>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</si>
  <si>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</si>
  <si>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</si>
  <si>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</si>
  <si>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</si>
  <si>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</si>
  <si>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</si>
  <si>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</si>
  <si>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</si>
  <si>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</si>
  <si>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</si>
  <si>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</si>
  <si>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</si>
  <si>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</si>
  <si>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</si>
  <si>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</si>
  <si>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</si>
  <si>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</si>
  <si>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</si>
  <si>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</si>
  <si>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</si>
  <si>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</si>
  <si>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</si>
  <si>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</si>
  <si>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</si>
  <si>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</si>
  <si>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</si>
  <si>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</si>
  <si>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</si>
  <si>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</si>
  <si>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</si>
  <si>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</si>
  <si>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</si>
  <si>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</si>
  <si>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</si>
  <si>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</si>
  <si>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</si>
  <si>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</si>
  <si>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</si>
  <si>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</si>
  <si>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</si>
  <si>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 in cm, NA if unknown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</si>
  <si>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</si>
  <si>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</si>
  <si>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</si>
  <si>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</si>
  <si>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</si>
  <si>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</si>
  <si>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</si>
  <si>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</si>
  <si>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chapter 1</t>
  </si>
  <si>
    <t>question</t>
  </si>
  <si>
    <t>answers</t>
  </si>
  <si>
    <t>Review the data dictionary. Identify the units of the height and weight columns.</t>
  </si>
  <si>
    <t>cm,kg</t>
  </si>
  <si>
    <t>Locate Biggs Darklighter’s age. Note the cell address.</t>
  </si>
  <si>
    <t>24,G10</t>
  </si>
  <si>
    <t>Insert a height_m column next to height. Write a formula to convert Luke Skywalker’s height to meters (height ÷ 100).</t>
  </si>
  <si>
    <t>=$B2/100</t>
  </si>
  <si>
    <t>Calculate BMI using (weight in kg) / (height in m ^ 2). Copy the formula for the entire column.</t>
  </si>
  <si>
    <t>=$D2/($C2^2)</t>
  </si>
  <si>
    <t>Add compare_BMI_DV column. Write a formula to compare each character’s BMI to Darth Vader’s BMI and copy for the column.</t>
  </si>
  <si>
    <t>=$E5-$E$5</t>
  </si>
  <si>
    <t>chapter 3</t>
  </si>
  <si>
    <t>Create a BMI_rank column, then write a formula to rank each BMI.</t>
  </si>
  <si>
    <t>=RANK($E2,$E$2:$E$88)</t>
  </si>
  <si>
    <t>Redo the BMI column using multiple IF statements to output 0 if height or weight is NA.</t>
  </si>
  <si>
    <t>=IF(OR($D2="NA",$B2="NA"),0,$D2/($C2^2))</t>
  </si>
  <si>
    <t>Calculate the average BMI for values that aren’t 0.</t>
  </si>
  <si>
    <t>Add an age in days column and another column called birthdate.</t>
  </si>
  <si>
    <t>=$K2*365</t>
  </si>
  <si>
    <t>Use a lookup function to find the character closest in age to you.</t>
  </si>
  <si>
    <t>IG-88 (5475=VLOOKUP(DAYS(TODAY(),DATE(1995,3,7)),L2:L88,1))</t>
  </si>
  <si>
    <t>Bonus</t>
  </si>
  <si>
    <t>Add a first_movie column containing just the first movie listed for each character.</t>
  </si>
  <si>
    <t>=INDEX(TEXTSPLIT($Q2,{","," "}),1)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</si>
</sst>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</font>
    <font>
      <sz val="10"/>
      <color theme="1"/>
      <name val="Arial"/>
      <scheme val="minor"/>
    </font>
    <font>
      <sz val="12"/>
      <color rgb="FF000000"/>
      <name val="Calibri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8" fillId="0" borderId="0" xfId="0" applyFont="1"/>
    <xf numFmtId="0" fontId="19" fillId="0" borderId="0" xfId="0" applyFont="1"/>
    <xf numFmtId="0" fontId="0" fillId="0" borderId="0" xfId="0" quotePrefix="1"/>
    <xf numFmtId="0" fontId="0" fillId="0" borderId="0" xfId="0" applyAlignment="1">
      <alignment wrapText="1"/>
    </xf>
    <xf numFmtId="0" fontId="0" fillId="0" borderId="0" xfId="0" applyAlignment="1">
      <alignment textRotation="45"/>
    </xf>
    <xf numFmtId="0" fontId="0" fillId="0" borderId="0" xfId="0" quotePrefix="1" applyAlignment="1">
      <alignment wrapText="1"/>
    </xf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9"/>
  <sheetViews>
    <sheetView topLeftCell="H7" workbookViewId="0">
      <selection activeCell="P4" sqref="P4"/>
    </sheetView>
  </sheetViews>
  <sheetFormatPr defaultColWidth="11" defaultRowHeight="15.75" customHeight="1"/>
  <cols>
    <col min="1" max="1" width="18.375" bestFit="1" customWidth="1"/>
    <col min="2" max="3" width="11.125" customWidth="1"/>
    <col min="4" max="7" width="9.25" customWidth="1"/>
    <col min="15" max="15" width="12.5" bestFit="1" customWidth="1"/>
    <col min="16" max="16" width="12.5" customWidth="1"/>
    <col min="17" max="17" width="125.25" bestFit="1" customWidth="1"/>
  </cols>
  <sheetData>
    <row r="1" spans="1:17" ht="32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4" t="s">
        <v>5</v>
      </c>
      <c r="G1" s="4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ht="32.25">
      <c r="A2" t="s">
        <v>17</v>
      </c>
      <c r="B2">
        <v>172</v>
      </c>
      <c r="C2">
        <f>$B2/100</f>
        <v>1.72</v>
      </c>
      <c r="D2">
        <v>77</v>
      </c>
      <c r="E2" s="4">
        <f>IF(OR($D2="NA",$B2="NA"),0,$D2/($C2^2))</f>
        <v>26.027582477014604</v>
      </c>
      <c r="F2" s="4">
        <f>$E2-$E$5</f>
        <v>-7.302483202820703</v>
      </c>
      <c r="G2" s="4">
        <f>RANK($E2,$E$2:$E$88)</f>
        <v>18</v>
      </c>
      <c r="H2" t="s">
        <v>18</v>
      </c>
      <c r="I2" t="s">
        <v>19</v>
      </c>
      <c r="J2" t="s">
        <v>20</v>
      </c>
      <c r="K2">
        <v>19</v>
      </c>
      <c r="L2">
        <f>$K2*365</f>
        <v>6935</v>
      </c>
      <c r="M2">
        <f ca="1">VLOOKUP(_xlfn.DAYS(TODAY(),DATE(1995,3,7)),L2:L88,1)</f>
        <v>5475</v>
      </c>
      <c r="N2" t="s">
        <v>21</v>
      </c>
      <c r="O2" t="s">
        <v>22</v>
      </c>
      <c r="P2" s="4" t="str" cm="1">
        <f t="array" ref="P2">INDEX(_xlfn.TEXTSPLIT($Q2,{","," "}),1)</f>
        <v>Revenge of the Sith</v>
      </c>
      <c r="Q2" t="s">
        <v>23</v>
      </c>
    </row>
    <row r="3" spans="1:17" ht="32.25">
      <c r="A3" t="s">
        <v>24</v>
      </c>
      <c r="B3">
        <v>167</v>
      </c>
      <c r="C3">
        <f t="shared" ref="C3:C66" si="0">$B3/100</f>
        <v>1.67</v>
      </c>
      <c r="D3">
        <v>75</v>
      </c>
      <c r="E3" s="4">
        <f t="shared" ref="E3:E66" si="1">IF(OR($D3="NA",$B3="NA"),0,$D3/($C3^2))</f>
        <v>26.892323138154829</v>
      </c>
      <c r="F3" s="4">
        <f t="shared" ref="F3:F66" si="2">$E3-$E$5</f>
        <v>-6.4377425416804783</v>
      </c>
      <c r="G3" s="4">
        <f t="shared" ref="G3:G66" si="3">RANK($E3,$E$2:$E$88)</f>
        <v>14</v>
      </c>
      <c r="H3" t="s">
        <v>25</v>
      </c>
      <c r="I3" t="s">
        <v>26</v>
      </c>
      <c r="J3" t="s">
        <v>27</v>
      </c>
      <c r="K3">
        <v>112</v>
      </c>
      <c r="L3">
        <f t="shared" ref="L3:L66" si="4">$K3*365</f>
        <v>40880</v>
      </c>
      <c r="N3" t="s">
        <v>21</v>
      </c>
      <c r="O3" t="s">
        <v>28</v>
      </c>
      <c r="P3" s="4" t="str" cm="1">
        <f t="array" ref="P3">INDEX(_xlfn.TEXTSPLIT($Q3,{","," "}),1)</f>
        <v>Attack of the Clones</v>
      </c>
      <c r="Q3" t="s">
        <v>29</v>
      </c>
    </row>
    <row r="4" spans="1:17" ht="32.25">
      <c r="A4" t="s">
        <v>30</v>
      </c>
      <c r="B4">
        <v>96</v>
      </c>
      <c r="C4">
        <f t="shared" si="0"/>
        <v>0.96</v>
      </c>
      <c r="D4">
        <v>32</v>
      </c>
      <c r="E4" s="4">
        <f t="shared" si="1"/>
        <v>34.722222222222221</v>
      </c>
      <c r="F4" s="4">
        <f t="shared" si="2"/>
        <v>1.392156542386914</v>
      </c>
      <c r="G4" s="4">
        <f t="shared" si="3"/>
        <v>6</v>
      </c>
      <c r="H4" t="s">
        <v>25</v>
      </c>
      <c r="I4" t="s">
        <v>31</v>
      </c>
      <c r="J4" t="s">
        <v>32</v>
      </c>
      <c r="K4">
        <v>33</v>
      </c>
      <c r="L4">
        <f t="shared" si="4"/>
        <v>12045</v>
      </c>
      <c r="N4" t="s">
        <v>33</v>
      </c>
      <c r="O4" t="s">
        <v>28</v>
      </c>
      <c r="P4" s="4" t="str" cm="1">
        <f t="array" ref="P4">INDEX(_xlfn.TEXTSPLIT($Q4,{","," "}),1)</f>
        <v>Attack of the Clones</v>
      </c>
      <c r="Q4" t="s">
        <v>34</v>
      </c>
    </row>
    <row r="5" spans="1:17" ht="32.25">
      <c r="A5" t="s">
        <v>35</v>
      </c>
      <c r="B5">
        <v>202</v>
      </c>
      <c r="C5">
        <f t="shared" si="0"/>
        <v>2.02</v>
      </c>
      <c r="D5">
        <v>136</v>
      </c>
      <c r="E5" s="4">
        <f t="shared" si="1"/>
        <v>33.330065679835307</v>
      </c>
      <c r="F5" s="4">
        <f>$E5-$E$5</f>
        <v>0</v>
      </c>
      <c r="G5" s="4">
        <f t="shared" si="3"/>
        <v>10</v>
      </c>
      <c r="H5" t="s">
        <v>36</v>
      </c>
      <c r="I5" t="s">
        <v>37</v>
      </c>
      <c r="J5" t="s">
        <v>27</v>
      </c>
      <c r="K5">
        <v>41.9</v>
      </c>
      <c r="L5">
        <f t="shared" si="4"/>
        <v>15293.5</v>
      </c>
      <c r="N5" t="s">
        <v>21</v>
      </c>
      <c r="O5" t="s">
        <v>22</v>
      </c>
      <c r="P5" s="4" t="str" cm="1">
        <f t="array" ref="P5">INDEX(_xlfn.TEXTSPLIT($Q5,{","," "}),1)</f>
        <v>Revenge of the Sith</v>
      </c>
      <c r="Q5" t="s">
        <v>38</v>
      </c>
    </row>
    <row r="6" spans="1:17" ht="32.25">
      <c r="A6" t="s">
        <v>39</v>
      </c>
      <c r="B6">
        <v>150</v>
      </c>
      <c r="C6">
        <f t="shared" si="0"/>
        <v>1.5</v>
      </c>
      <c r="D6">
        <v>49</v>
      </c>
      <c r="E6" s="4">
        <f t="shared" si="1"/>
        <v>21.777777777777779</v>
      </c>
      <c r="F6" s="4">
        <f t="shared" si="2"/>
        <v>-11.552287902057529</v>
      </c>
      <c r="G6" s="4">
        <f t="shared" si="3"/>
        <v>43</v>
      </c>
      <c r="H6" t="s">
        <v>40</v>
      </c>
      <c r="I6" t="s">
        <v>41</v>
      </c>
      <c r="J6" t="s">
        <v>40</v>
      </c>
      <c r="K6">
        <v>19</v>
      </c>
      <c r="L6">
        <f t="shared" si="4"/>
        <v>6935</v>
      </c>
      <c r="N6" t="s">
        <v>42</v>
      </c>
      <c r="O6" t="s">
        <v>22</v>
      </c>
      <c r="P6" s="4" t="str" cm="1">
        <f t="array" ref="P6">INDEX(_xlfn.TEXTSPLIT($Q6,{","," "}),1)</f>
        <v>Revenge of the Sith</v>
      </c>
      <c r="Q6" t="s">
        <v>43</v>
      </c>
    </row>
    <row r="7" spans="1:17" ht="32.25">
      <c r="A7" t="s">
        <v>44</v>
      </c>
      <c r="B7">
        <v>178</v>
      </c>
      <c r="C7">
        <f t="shared" si="0"/>
        <v>1.78</v>
      </c>
      <c r="D7">
        <v>120</v>
      </c>
      <c r="E7" s="4">
        <f t="shared" si="1"/>
        <v>37.874005807347558</v>
      </c>
      <c r="F7" s="4">
        <f t="shared" si="2"/>
        <v>4.5439401275122506</v>
      </c>
      <c r="G7" s="4">
        <f t="shared" si="3"/>
        <v>4</v>
      </c>
      <c r="H7" t="s">
        <v>45</v>
      </c>
      <c r="I7" t="s">
        <v>41</v>
      </c>
      <c r="J7" t="s">
        <v>20</v>
      </c>
      <c r="K7">
        <v>52</v>
      </c>
      <c r="L7">
        <f t="shared" si="4"/>
        <v>18980</v>
      </c>
      <c r="N7" t="s">
        <v>21</v>
      </c>
      <c r="O7" t="s">
        <v>22</v>
      </c>
      <c r="P7" s="4" t="str" cm="1">
        <f t="array" ref="P7">INDEX(_xlfn.TEXTSPLIT($Q7,{","," "}),1)</f>
        <v>Attack of the Clones</v>
      </c>
      <c r="Q7" t="s">
        <v>46</v>
      </c>
    </row>
    <row r="8" spans="1:17" ht="32.25">
      <c r="A8" t="s">
        <v>47</v>
      </c>
      <c r="B8">
        <v>165</v>
      </c>
      <c r="C8">
        <f t="shared" si="0"/>
        <v>1.65</v>
      </c>
      <c r="D8">
        <v>75</v>
      </c>
      <c r="E8" s="4">
        <f t="shared" si="1"/>
        <v>27.548209366391188</v>
      </c>
      <c r="F8" s="4">
        <f t="shared" si="2"/>
        <v>-5.7818563134441199</v>
      </c>
      <c r="G8" s="4">
        <f t="shared" si="3"/>
        <v>13</v>
      </c>
      <c r="H8" t="s">
        <v>40</v>
      </c>
      <c r="I8" t="s">
        <v>41</v>
      </c>
      <c r="J8" t="s">
        <v>20</v>
      </c>
      <c r="K8">
        <v>47</v>
      </c>
      <c r="L8">
        <f t="shared" si="4"/>
        <v>17155</v>
      </c>
      <c r="N8" t="s">
        <v>21</v>
      </c>
      <c r="O8" t="s">
        <v>22</v>
      </c>
      <c r="P8" s="4" t="str" cm="1">
        <f t="array" ref="P8">INDEX(_xlfn.TEXTSPLIT($Q8,{","," "}),1)</f>
        <v>Attack of the Clones</v>
      </c>
      <c r="Q8" t="s">
        <v>46</v>
      </c>
    </row>
    <row r="9" spans="1:17" ht="32.25">
      <c r="A9" t="s">
        <v>48</v>
      </c>
      <c r="B9">
        <v>97</v>
      </c>
      <c r="C9">
        <f t="shared" si="0"/>
        <v>0.97</v>
      </c>
      <c r="D9">
        <v>32</v>
      </c>
      <c r="E9" s="4">
        <f t="shared" si="1"/>
        <v>34.009990434690195</v>
      </c>
      <c r="F9" s="4">
        <f t="shared" si="2"/>
        <v>0.67992475485488768</v>
      </c>
      <c r="G9" s="4">
        <f t="shared" si="3"/>
        <v>8</v>
      </c>
      <c r="H9" t="s">
        <v>25</v>
      </c>
      <c r="I9" t="s">
        <v>49</v>
      </c>
      <c r="J9" t="s">
        <v>32</v>
      </c>
      <c r="K9" t="s">
        <v>25</v>
      </c>
      <c r="L9" t="e">
        <f t="shared" si="4"/>
        <v>#VALUE!</v>
      </c>
      <c r="N9" t="s">
        <v>21</v>
      </c>
      <c r="O9" t="s">
        <v>28</v>
      </c>
      <c r="P9" s="4" t="str" cm="1">
        <f t="array" ref="P9">INDEX(_xlfn.TEXTSPLIT($Q9,{","," "}),1)</f>
        <v>A New Hope</v>
      </c>
      <c r="Q9" t="s">
        <v>50</v>
      </c>
    </row>
    <row r="10" spans="1:17" ht="32.25">
      <c r="A10" t="s">
        <v>51</v>
      </c>
      <c r="B10">
        <v>183</v>
      </c>
      <c r="C10">
        <f t="shared" si="0"/>
        <v>1.83</v>
      </c>
      <c r="D10">
        <v>84</v>
      </c>
      <c r="E10" s="4">
        <f t="shared" si="1"/>
        <v>25.082863029651524</v>
      </c>
      <c r="F10" s="4">
        <f t="shared" si="2"/>
        <v>-8.2472026501837838</v>
      </c>
      <c r="G10" s="4">
        <f t="shared" si="3"/>
        <v>25</v>
      </c>
      <c r="H10" t="s">
        <v>52</v>
      </c>
      <c r="I10" t="s">
        <v>41</v>
      </c>
      <c r="J10" t="s">
        <v>40</v>
      </c>
      <c r="K10">
        <v>24</v>
      </c>
      <c r="L10">
        <f t="shared" si="4"/>
        <v>8760</v>
      </c>
      <c r="N10" t="s">
        <v>21</v>
      </c>
      <c r="O10" t="s">
        <v>22</v>
      </c>
      <c r="P10" s="4" t="str" cm="1">
        <f t="array" ref="P10">INDEX(_xlfn.TEXTSPLIT($Q10,{","," "}),1)</f>
        <v>A New Hope</v>
      </c>
      <c r="Q10" t="s">
        <v>50</v>
      </c>
    </row>
    <row r="11" spans="1:17" ht="32.25">
      <c r="A11" t="s">
        <v>53</v>
      </c>
      <c r="B11">
        <v>182</v>
      </c>
      <c r="C11">
        <f t="shared" si="0"/>
        <v>1.82</v>
      </c>
      <c r="D11">
        <v>77</v>
      </c>
      <c r="E11" s="4">
        <f t="shared" si="1"/>
        <v>23.245984784446321</v>
      </c>
      <c r="F11" s="4">
        <f t="shared" si="2"/>
        <v>-10.084080895388986</v>
      </c>
      <c r="G11" s="4">
        <f t="shared" si="3"/>
        <v>39</v>
      </c>
      <c r="H11" t="s">
        <v>54</v>
      </c>
      <c r="I11" t="s">
        <v>19</v>
      </c>
      <c r="J11" t="s">
        <v>55</v>
      </c>
      <c r="K11">
        <v>57</v>
      </c>
      <c r="L11">
        <f t="shared" si="4"/>
        <v>20805</v>
      </c>
      <c r="N11" t="s">
        <v>56</v>
      </c>
      <c r="O11" t="s">
        <v>22</v>
      </c>
      <c r="P11" s="4" t="str" cm="1">
        <f t="array" ref="P11">INDEX(_xlfn.TEXTSPLIT($Q11,{","," "}),1)</f>
        <v>Attack of the Clones</v>
      </c>
      <c r="Q11" t="s">
        <v>29</v>
      </c>
    </row>
    <row r="12" spans="1:17" ht="32.25">
      <c r="A12" t="s">
        <v>57</v>
      </c>
      <c r="B12">
        <v>188</v>
      </c>
      <c r="C12">
        <f t="shared" si="0"/>
        <v>1.88</v>
      </c>
      <c r="D12">
        <v>84</v>
      </c>
      <c r="E12" s="4">
        <f t="shared" si="1"/>
        <v>23.766410140334994</v>
      </c>
      <c r="F12" s="4">
        <f t="shared" si="2"/>
        <v>-9.5636555395003136</v>
      </c>
      <c r="G12" s="4">
        <f t="shared" si="3"/>
        <v>35</v>
      </c>
      <c r="H12" t="s">
        <v>18</v>
      </c>
      <c r="I12" t="s">
        <v>19</v>
      </c>
      <c r="J12" t="s">
        <v>20</v>
      </c>
      <c r="K12">
        <v>41.9</v>
      </c>
      <c r="L12">
        <f t="shared" si="4"/>
        <v>15293.5</v>
      </c>
      <c r="N12" t="s">
        <v>21</v>
      </c>
      <c r="O12" t="s">
        <v>22</v>
      </c>
      <c r="P12" s="4" t="str" cm="1">
        <f t="array" ref="P12">INDEX(_xlfn.TEXTSPLIT($Q12,{","," "}),1)</f>
        <v>Attack of the Clones</v>
      </c>
      <c r="Q12" t="s">
        <v>58</v>
      </c>
    </row>
    <row r="13" spans="1:17" ht="32.25">
      <c r="A13" t="s">
        <v>59</v>
      </c>
      <c r="B13">
        <v>180</v>
      </c>
      <c r="C13">
        <f t="shared" si="0"/>
        <v>1.8</v>
      </c>
      <c r="D13" t="s">
        <v>25</v>
      </c>
      <c r="E13" s="4">
        <f t="shared" si="1"/>
        <v>0</v>
      </c>
      <c r="F13" s="4">
        <f t="shared" si="2"/>
        <v>-33.330065679835307</v>
      </c>
      <c r="G13" s="4">
        <f t="shared" si="3"/>
        <v>60</v>
      </c>
      <c r="H13" t="s">
        <v>60</v>
      </c>
      <c r="I13" t="s">
        <v>19</v>
      </c>
      <c r="J13" t="s">
        <v>20</v>
      </c>
      <c r="K13">
        <v>64</v>
      </c>
      <c r="L13">
        <f t="shared" si="4"/>
        <v>23360</v>
      </c>
      <c r="N13" t="s">
        <v>61</v>
      </c>
      <c r="O13" t="s">
        <v>22</v>
      </c>
      <c r="P13" s="4" t="str" cm="1">
        <f t="array" ref="P13">INDEX(_xlfn.TEXTSPLIT($Q13,{","," "}),1)</f>
        <v>Revenge of the Sith</v>
      </c>
      <c r="Q13" t="s">
        <v>62</v>
      </c>
    </row>
    <row r="14" spans="1:17" ht="32.25">
      <c r="A14" t="s">
        <v>63</v>
      </c>
      <c r="B14">
        <v>228</v>
      </c>
      <c r="C14">
        <f t="shared" si="0"/>
        <v>2.2799999999999998</v>
      </c>
      <c r="D14">
        <v>112</v>
      </c>
      <c r="E14" s="4">
        <f t="shared" si="1"/>
        <v>21.545090797168363</v>
      </c>
      <c r="F14" s="4">
        <f t="shared" si="2"/>
        <v>-11.784974882666944</v>
      </c>
      <c r="G14" s="4">
        <f t="shared" si="3"/>
        <v>44</v>
      </c>
      <c r="H14" t="s">
        <v>40</v>
      </c>
      <c r="I14" t="s">
        <v>64</v>
      </c>
      <c r="J14" t="s">
        <v>20</v>
      </c>
      <c r="K14">
        <v>200</v>
      </c>
      <c r="L14">
        <f t="shared" si="4"/>
        <v>73000</v>
      </c>
      <c r="N14" t="s">
        <v>65</v>
      </c>
      <c r="O14" t="s">
        <v>66</v>
      </c>
      <c r="P14" s="4" t="str" cm="1">
        <f t="array" ref="P14">INDEX(_xlfn.TEXTSPLIT($Q14,{","," "}),1)</f>
        <v>Revenge of the Sith</v>
      </c>
      <c r="Q14" t="s">
        <v>43</v>
      </c>
    </row>
    <row r="15" spans="1:17" ht="32.25">
      <c r="A15" t="s">
        <v>67</v>
      </c>
      <c r="B15">
        <v>180</v>
      </c>
      <c r="C15">
        <f t="shared" si="0"/>
        <v>1.8</v>
      </c>
      <c r="D15">
        <v>80</v>
      </c>
      <c r="E15" s="4">
        <f t="shared" si="1"/>
        <v>24.691358024691358</v>
      </c>
      <c r="F15" s="4">
        <f t="shared" si="2"/>
        <v>-8.6387076551439499</v>
      </c>
      <c r="G15" s="4">
        <f t="shared" si="3"/>
        <v>29</v>
      </c>
      <c r="H15" t="s">
        <v>40</v>
      </c>
      <c r="I15" t="s">
        <v>19</v>
      </c>
      <c r="J15" t="s">
        <v>40</v>
      </c>
      <c r="K15">
        <v>29</v>
      </c>
      <c r="L15">
        <f t="shared" si="4"/>
        <v>10585</v>
      </c>
      <c r="N15" t="s">
        <v>68</v>
      </c>
      <c r="O15" t="s">
        <v>22</v>
      </c>
      <c r="P15" s="4" t="str" cm="1">
        <f t="array" ref="P15">INDEX(_xlfn.TEXTSPLIT($Q15,{","," "}),1)</f>
        <v>Return of the Jedi</v>
      </c>
      <c r="Q15" t="s">
        <v>69</v>
      </c>
    </row>
    <row r="16" spans="1:17" ht="32.25">
      <c r="A16" t="s">
        <v>70</v>
      </c>
      <c r="B16">
        <v>173</v>
      </c>
      <c r="C16">
        <f t="shared" si="0"/>
        <v>1.73</v>
      </c>
      <c r="D16">
        <v>74</v>
      </c>
      <c r="E16" s="4">
        <f t="shared" si="1"/>
        <v>24.725182932941294</v>
      </c>
      <c r="F16" s="4">
        <f t="shared" si="2"/>
        <v>-8.6048827468940132</v>
      </c>
      <c r="G16" s="4">
        <f t="shared" si="3"/>
        <v>28</v>
      </c>
      <c r="H16" t="s">
        <v>25</v>
      </c>
      <c r="I16" t="s">
        <v>71</v>
      </c>
      <c r="J16" t="s">
        <v>52</v>
      </c>
      <c r="K16">
        <v>44</v>
      </c>
      <c r="L16">
        <f t="shared" si="4"/>
        <v>16060</v>
      </c>
      <c r="N16" t="s">
        <v>72</v>
      </c>
      <c r="O16" t="s">
        <v>73</v>
      </c>
      <c r="P16" s="4" t="str" cm="1">
        <f t="array" ref="P16">INDEX(_xlfn.TEXTSPLIT($Q16,{","," "}),1)</f>
        <v>A New Hope</v>
      </c>
      <c r="Q16" t="s">
        <v>50</v>
      </c>
    </row>
    <row r="17" spans="1:17" ht="32.25">
      <c r="A17" t="s">
        <v>74</v>
      </c>
      <c r="B17">
        <v>175</v>
      </c>
      <c r="C17">
        <f t="shared" si="0"/>
        <v>1.75</v>
      </c>
      <c r="D17">
        <v>1358</v>
      </c>
      <c r="E17" s="4">
        <f t="shared" si="1"/>
        <v>443.42857142857144</v>
      </c>
      <c r="F17" s="4">
        <f t="shared" si="2"/>
        <v>410.09850574873616</v>
      </c>
      <c r="G17" s="4">
        <f t="shared" si="3"/>
        <v>1</v>
      </c>
      <c r="H17" t="s">
        <v>25</v>
      </c>
      <c r="I17" t="s">
        <v>75</v>
      </c>
      <c r="J17" t="s">
        <v>76</v>
      </c>
      <c r="K17">
        <v>600</v>
      </c>
      <c r="L17">
        <f t="shared" si="4"/>
        <v>219000</v>
      </c>
      <c r="N17" t="s">
        <v>77</v>
      </c>
      <c r="O17" t="s">
        <v>78</v>
      </c>
      <c r="P17" s="4" t="str" cm="1">
        <f t="array" ref="P17">INDEX(_xlfn.TEXTSPLIT($Q17,{","," "}),1)</f>
        <v>The Phantom Menace</v>
      </c>
      <c r="Q17" t="s">
        <v>79</v>
      </c>
    </row>
    <row r="18" spans="1:17" ht="32.25">
      <c r="A18" t="s">
        <v>80</v>
      </c>
      <c r="B18">
        <v>170</v>
      </c>
      <c r="C18">
        <f t="shared" si="0"/>
        <v>1.7</v>
      </c>
      <c r="D18">
        <v>77</v>
      </c>
      <c r="E18" s="4">
        <f t="shared" si="1"/>
        <v>26.643598615916957</v>
      </c>
      <c r="F18" s="4">
        <f t="shared" si="2"/>
        <v>-6.6864670639183501</v>
      </c>
      <c r="G18" s="4">
        <f t="shared" si="3"/>
        <v>15</v>
      </c>
      <c r="H18" t="s">
        <v>40</v>
      </c>
      <c r="I18" t="s">
        <v>19</v>
      </c>
      <c r="J18" t="s">
        <v>81</v>
      </c>
      <c r="K18">
        <v>21</v>
      </c>
      <c r="L18">
        <f t="shared" si="4"/>
        <v>7665</v>
      </c>
      <c r="N18" t="s">
        <v>68</v>
      </c>
      <c r="O18" t="s">
        <v>22</v>
      </c>
      <c r="P18" s="4" t="str" cm="1">
        <f t="array" ref="P18">INDEX(_xlfn.TEXTSPLIT($Q18,{","," "}),1)</f>
        <v>Return of the Jedi</v>
      </c>
      <c r="Q18" t="s">
        <v>82</v>
      </c>
    </row>
    <row r="19" spans="1:17" ht="32.25">
      <c r="A19" t="s">
        <v>83</v>
      </c>
      <c r="B19">
        <v>180</v>
      </c>
      <c r="C19">
        <f t="shared" si="0"/>
        <v>1.8</v>
      </c>
      <c r="D19">
        <v>110</v>
      </c>
      <c r="E19" s="4">
        <f t="shared" si="1"/>
        <v>33.950617283950614</v>
      </c>
      <c r="F19" s="4">
        <f t="shared" si="2"/>
        <v>0.62055160411530608</v>
      </c>
      <c r="G19" s="4">
        <f t="shared" si="3"/>
        <v>9</v>
      </c>
      <c r="H19" t="s">
        <v>40</v>
      </c>
      <c r="I19" t="s">
        <v>19</v>
      </c>
      <c r="J19" t="s">
        <v>20</v>
      </c>
      <c r="K19" t="s">
        <v>25</v>
      </c>
      <c r="L19" t="e">
        <f t="shared" si="4"/>
        <v>#VALUE!</v>
      </c>
      <c r="N19" t="s">
        <v>84</v>
      </c>
      <c r="O19" t="s">
        <v>22</v>
      </c>
      <c r="P19" s="4" t="str" cm="1">
        <f t="array" ref="P19">INDEX(_xlfn.TEXTSPLIT($Q19,{","," "}),1)</f>
        <v>A New Hope</v>
      </c>
      <c r="Q19" t="s">
        <v>50</v>
      </c>
    </row>
    <row r="20" spans="1:17" ht="32.25">
      <c r="A20" t="s">
        <v>85</v>
      </c>
      <c r="B20">
        <v>66</v>
      </c>
      <c r="C20">
        <f t="shared" si="0"/>
        <v>0.66</v>
      </c>
      <c r="D20">
        <v>17</v>
      </c>
      <c r="E20" s="4">
        <f t="shared" si="1"/>
        <v>39.026629935720841</v>
      </c>
      <c r="F20" s="4">
        <f t="shared" si="2"/>
        <v>5.6965642558855336</v>
      </c>
      <c r="G20" s="4">
        <f t="shared" si="3"/>
        <v>3</v>
      </c>
      <c r="H20" t="s">
        <v>37</v>
      </c>
      <c r="I20" t="s">
        <v>71</v>
      </c>
      <c r="J20" t="s">
        <v>40</v>
      </c>
      <c r="K20">
        <v>896</v>
      </c>
      <c r="L20">
        <f t="shared" si="4"/>
        <v>327040</v>
      </c>
      <c r="N20" t="s">
        <v>25</v>
      </c>
      <c r="O20" t="s">
        <v>86</v>
      </c>
      <c r="P20" s="4" t="str" cm="1">
        <f t="array" ref="P20">INDEX(_xlfn.TEXTSPLIT($Q20,{","," "}),1)</f>
        <v>Attack of the Clones</v>
      </c>
      <c r="Q20" t="s">
        <v>87</v>
      </c>
    </row>
    <row r="21" spans="1:17" ht="32.25">
      <c r="A21" t="s">
        <v>88</v>
      </c>
      <c r="B21">
        <v>170</v>
      </c>
      <c r="C21">
        <f t="shared" si="0"/>
        <v>1.7</v>
      </c>
      <c r="D21">
        <v>75</v>
      </c>
      <c r="E21" s="4">
        <f t="shared" si="1"/>
        <v>25.95155709342561</v>
      </c>
      <c r="F21" s="4">
        <f t="shared" si="2"/>
        <v>-7.3785085864096978</v>
      </c>
      <c r="G21" s="4">
        <f t="shared" si="3"/>
        <v>20</v>
      </c>
      <c r="H21" t="s">
        <v>89</v>
      </c>
      <c r="I21" t="s">
        <v>90</v>
      </c>
      <c r="J21" t="s">
        <v>27</v>
      </c>
      <c r="K21">
        <v>82</v>
      </c>
      <c r="L21">
        <f t="shared" si="4"/>
        <v>29930</v>
      </c>
      <c r="N21" t="s">
        <v>33</v>
      </c>
      <c r="O21" t="s">
        <v>22</v>
      </c>
      <c r="P21" s="4" t="str" cm="1">
        <f t="array" ref="P21">INDEX(_xlfn.TEXTSPLIT($Q21,{","," "}),1)</f>
        <v/>
      </c>
      <c r="Q21" t="s">
        <v>91</v>
      </c>
    </row>
    <row r="22" spans="1:17" ht="32.25">
      <c r="A22" t="s">
        <v>92</v>
      </c>
      <c r="B22">
        <v>183</v>
      </c>
      <c r="C22">
        <f t="shared" si="0"/>
        <v>1.83</v>
      </c>
      <c r="D22">
        <v>78.2</v>
      </c>
      <c r="E22" s="4">
        <f t="shared" si="1"/>
        <v>23.350951058556539</v>
      </c>
      <c r="F22" s="4">
        <f t="shared" si="2"/>
        <v>-9.979114621278768</v>
      </c>
      <c r="G22" s="4">
        <f t="shared" si="3"/>
        <v>38</v>
      </c>
      <c r="H22" t="s">
        <v>52</v>
      </c>
      <c r="I22" t="s">
        <v>19</v>
      </c>
      <c r="J22" t="s">
        <v>40</v>
      </c>
      <c r="K22">
        <v>31.5</v>
      </c>
      <c r="L22">
        <f t="shared" si="4"/>
        <v>11497.5</v>
      </c>
      <c r="N22" t="s">
        <v>93</v>
      </c>
      <c r="O22" t="s">
        <v>22</v>
      </c>
      <c r="P22" s="4" t="str" cm="1">
        <f t="array" ref="P22">INDEX(_xlfn.TEXTSPLIT($Q22,{","," "}),1)</f>
        <v>Attack of the Clones</v>
      </c>
      <c r="Q22" t="s">
        <v>94</v>
      </c>
    </row>
    <row r="23" spans="1:17" ht="32.25">
      <c r="A23" t="s">
        <v>95</v>
      </c>
      <c r="B23">
        <v>200</v>
      </c>
      <c r="C23">
        <f t="shared" si="0"/>
        <v>2</v>
      </c>
      <c r="D23">
        <v>140</v>
      </c>
      <c r="E23" s="4">
        <f t="shared" si="1"/>
        <v>35</v>
      </c>
      <c r="F23" s="4">
        <f t="shared" si="2"/>
        <v>1.6699343201646926</v>
      </c>
      <c r="G23" s="4">
        <f t="shared" si="3"/>
        <v>5</v>
      </c>
      <c r="H23" t="s">
        <v>36</v>
      </c>
      <c r="I23" t="s">
        <v>96</v>
      </c>
      <c r="J23" t="s">
        <v>32</v>
      </c>
      <c r="K23">
        <v>15</v>
      </c>
      <c r="L23">
        <f t="shared" si="4"/>
        <v>5475</v>
      </c>
      <c r="N23" t="s">
        <v>25</v>
      </c>
      <c r="O23" t="s">
        <v>28</v>
      </c>
      <c r="P23" s="4" t="str" cm="1">
        <f t="array" ref="P23">INDEX(_xlfn.TEXTSPLIT($Q23,{","," "}),1)</f>
        <v>The Empire Strikes Back</v>
      </c>
      <c r="Q23" t="s">
        <v>97</v>
      </c>
    </row>
    <row r="24" spans="1:17" ht="32.25">
      <c r="A24" t="s">
        <v>98</v>
      </c>
      <c r="B24">
        <v>190</v>
      </c>
      <c r="C24">
        <f t="shared" si="0"/>
        <v>1.9</v>
      </c>
      <c r="D24">
        <v>113</v>
      </c>
      <c r="E24" s="4">
        <f t="shared" si="1"/>
        <v>31.301939058171747</v>
      </c>
      <c r="F24" s="4">
        <f t="shared" si="2"/>
        <v>-2.0281266216635601</v>
      </c>
      <c r="G24" s="4">
        <f t="shared" si="3"/>
        <v>12</v>
      </c>
      <c r="H24" t="s">
        <v>36</v>
      </c>
      <c r="I24" t="s">
        <v>71</v>
      </c>
      <c r="J24" t="s">
        <v>32</v>
      </c>
      <c r="K24">
        <v>53</v>
      </c>
      <c r="L24">
        <f t="shared" si="4"/>
        <v>19345</v>
      </c>
      <c r="N24" t="s">
        <v>99</v>
      </c>
      <c r="O24" t="s">
        <v>100</v>
      </c>
      <c r="P24" s="4" t="str" cm="1">
        <f t="array" ref="P24">INDEX(_xlfn.TEXTSPLIT($Q24,{","," "}),1)</f>
        <v>The Empire Strikes Back</v>
      </c>
      <c r="Q24" t="s">
        <v>97</v>
      </c>
    </row>
    <row r="25" spans="1:17" ht="32.25">
      <c r="A25" t="s">
        <v>101</v>
      </c>
      <c r="B25">
        <v>177</v>
      </c>
      <c r="C25">
        <f t="shared" si="0"/>
        <v>1.77</v>
      </c>
      <c r="D25">
        <v>79</v>
      </c>
      <c r="E25" s="4">
        <f t="shared" si="1"/>
        <v>25.216253311628201</v>
      </c>
      <c r="F25" s="4">
        <f t="shared" si="2"/>
        <v>-8.1138123682071068</v>
      </c>
      <c r="G25" s="4">
        <f t="shared" si="3"/>
        <v>24</v>
      </c>
      <c r="H25" t="s">
        <v>52</v>
      </c>
      <c r="I25" t="s">
        <v>102</v>
      </c>
      <c r="J25" t="s">
        <v>40</v>
      </c>
      <c r="K25">
        <v>31</v>
      </c>
      <c r="L25">
        <f t="shared" si="4"/>
        <v>11315</v>
      </c>
      <c r="N25" t="s">
        <v>103</v>
      </c>
      <c r="O25" t="s">
        <v>22</v>
      </c>
      <c r="P25" s="4" t="str" cm="1">
        <f t="array" ref="P25">INDEX(_xlfn.TEXTSPLIT($Q25,{","," "}),1)</f>
        <v>Return of the Jedi</v>
      </c>
      <c r="Q25" t="s">
        <v>104</v>
      </c>
    </row>
    <row r="26" spans="1:17" ht="32.25">
      <c r="A26" t="s">
        <v>105</v>
      </c>
      <c r="B26">
        <v>175</v>
      </c>
      <c r="C26">
        <f t="shared" si="0"/>
        <v>1.75</v>
      </c>
      <c r="D26">
        <v>79</v>
      </c>
      <c r="E26" s="4">
        <f t="shared" si="1"/>
        <v>25.795918367346939</v>
      </c>
      <c r="F26" s="4">
        <f t="shared" si="2"/>
        <v>-7.5341473124883684</v>
      </c>
      <c r="G26" s="4">
        <f t="shared" si="3"/>
        <v>22</v>
      </c>
      <c r="H26" t="s">
        <v>36</v>
      </c>
      <c r="I26" t="s">
        <v>41</v>
      </c>
      <c r="J26" t="s">
        <v>20</v>
      </c>
      <c r="K26">
        <v>37</v>
      </c>
      <c r="L26">
        <f t="shared" si="4"/>
        <v>13505</v>
      </c>
      <c r="N26" t="s">
        <v>106</v>
      </c>
      <c r="O26" t="s">
        <v>22</v>
      </c>
      <c r="P26" s="4" t="str" cm="1">
        <f t="array" ref="P26">INDEX(_xlfn.TEXTSPLIT($Q26,{","," "}),1)</f>
        <v>The Empire Strikes Back</v>
      </c>
      <c r="Q26" t="s">
        <v>97</v>
      </c>
    </row>
    <row r="27" spans="1:17" ht="32.25">
      <c r="A27" t="s">
        <v>107</v>
      </c>
      <c r="B27">
        <v>180</v>
      </c>
      <c r="C27">
        <f t="shared" si="0"/>
        <v>1.8</v>
      </c>
      <c r="D27">
        <v>83</v>
      </c>
      <c r="E27" s="4">
        <f t="shared" si="1"/>
        <v>25.617283950617281</v>
      </c>
      <c r="F27" s="4">
        <f t="shared" si="2"/>
        <v>-7.7127817292180261</v>
      </c>
      <c r="G27" s="4">
        <f t="shared" si="3"/>
        <v>23</v>
      </c>
      <c r="H27" t="s">
        <v>36</v>
      </c>
      <c r="I27" t="s">
        <v>108</v>
      </c>
      <c r="J27" t="s">
        <v>76</v>
      </c>
      <c r="K27">
        <v>41</v>
      </c>
      <c r="L27">
        <f t="shared" si="4"/>
        <v>14965</v>
      </c>
      <c r="N27" t="s">
        <v>109</v>
      </c>
      <c r="O27" t="s">
        <v>110</v>
      </c>
      <c r="P27" s="4" t="str" cm="1">
        <f t="array" ref="P27">INDEX(_xlfn.TEXTSPLIT($Q27,{","," "}),1)</f>
        <v>Return of the Jedi</v>
      </c>
      <c r="Q27" t="s">
        <v>111</v>
      </c>
    </row>
    <row r="28" spans="1:17" ht="32.25">
      <c r="A28" t="s">
        <v>112</v>
      </c>
      <c r="B28">
        <v>150</v>
      </c>
      <c r="C28">
        <f t="shared" si="0"/>
        <v>1.5</v>
      </c>
      <c r="D28" t="s">
        <v>25</v>
      </c>
      <c r="E28" s="4">
        <f t="shared" si="1"/>
        <v>0</v>
      </c>
      <c r="F28" s="4">
        <f t="shared" si="2"/>
        <v>-33.330065679835307</v>
      </c>
      <c r="G28" s="4">
        <f t="shared" si="3"/>
        <v>60</v>
      </c>
      <c r="H28" t="s">
        <v>113</v>
      </c>
      <c r="I28" t="s">
        <v>19</v>
      </c>
      <c r="J28" t="s">
        <v>20</v>
      </c>
      <c r="K28">
        <v>48</v>
      </c>
      <c r="L28">
        <f t="shared" si="4"/>
        <v>17520</v>
      </c>
      <c r="N28" t="s">
        <v>114</v>
      </c>
      <c r="O28" t="s">
        <v>22</v>
      </c>
      <c r="P28" s="4" t="str" cm="1">
        <f t="array" ref="P28">INDEX(_xlfn.TEXTSPLIT($Q28,{","," "}),1)</f>
        <v>Return of the Jedi</v>
      </c>
      <c r="Q28" t="s">
        <v>115</v>
      </c>
    </row>
    <row r="29" spans="1:17" ht="32.25">
      <c r="A29" t="s">
        <v>116</v>
      </c>
      <c r="B29" t="s">
        <v>25</v>
      </c>
      <c r="C29" t="e">
        <f t="shared" si="0"/>
        <v>#VALUE!</v>
      </c>
      <c r="D29" t="s">
        <v>25</v>
      </c>
      <c r="E29" s="4">
        <f t="shared" si="1"/>
        <v>0</v>
      </c>
      <c r="F29" s="4">
        <f t="shared" si="2"/>
        <v>-33.330065679835307</v>
      </c>
      <c r="G29" s="4">
        <f t="shared" si="3"/>
        <v>60</v>
      </c>
      <c r="H29" t="s">
        <v>40</v>
      </c>
      <c r="I29" t="s">
        <v>19</v>
      </c>
      <c r="J29" t="s">
        <v>40</v>
      </c>
      <c r="K29" t="s">
        <v>25</v>
      </c>
      <c r="L29" t="e">
        <f t="shared" si="4"/>
        <v>#VALUE!</v>
      </c>
      <c r="N29" t="s">
        <v>25</v>
      </c>
      <c r="O29" t="s">
        <v>22</v>
      </c>
      <c r="P29" s="4" t="str" cm="1">
        <f t="array" ref="P29">INDEX(_xlfn.TEXTSPLIT($Q29,{","," "}),1)</f>
        <v>Return of the Jedi</v>
      </c>
      <c r="Q29" t="s">
        <v>115</v>
      </c>
    </row>
    <row r="30" spans="1:17" ht="32.25">
      <c r="A30" t="s">
        <v>117</v>
      </c>
      <c r="B30">
        <v>88</v>
      </c>
      <c r="C30">
        <f t="shared" si="0"/>
        <v>0.88</v>
      </c>
      <c r="D30">
        <v>20</v>
      </c>
      <c r="E30" s="4">
        <f t="shared" si="1"/>
        <v>25.826446280991735</v>
      </c>
      <c r="F30" s="4">
        <f t="shared" si="2"/>
        <v>-7.503619398843572</v>
      </c>
      <c r="G30" s="4">
        <f t="shared" si="3"/>
        <v>21</v>
      </c>
      <c r="H30" t="s">
        <v>40</v>
      </c>
      <c r="I30" t="s">
        <v>40</v>
      </c>
      <c r="J30" t="s">
        <v>40</v>
      </c>
      <c r="K30">
        <v>8</v>
      </c>
      <c r="L30">
        <f t="shared" si="4"/>
        <v>2920</v>
      </c>
      <c r="N30" t="s">
        <v>118</v>
      </c>
      <c r="O30" t="s">
        <v>119</v>
      </c>
      <c r="P30" s="4" t="str" cm="1">
        <f t="array" ref="P30">INDEX(_xlfn.TEXTSPLIT($Q30,{","," "}),1)</f>
        <v>Return of the Jedi</v>
      </c>
      <c r="Q30" t="s">
        <v>115</v>
      </c>
    </row>
    <row r="31" spans="1:17" ht="32.25">
      <c r="A31" t="s">
        <v>120</v>
      </c>
      <c r="B31">
        <v>160</v>
      </c>
      <c r="C31">
        <f t="shared" si="0"/>
        <v>1.6</v>
      </c>
      <c r="D31">
        <v>68</v>
      </c>
      <c r="E31" s="4">
        <f t="shared" si="1"/>
        <v>26.562499999999996</v>
      </c>
      <c r="F31" s="4">
        <f t="shared" si="2"/>
        <v>-6.767565679835311</v>
      </c>
      <c r="G31" s="4">
        <f t="shared" si="3"/>
        <v>16</v>
      </c>
      <c r="H31" t="s">
        <v>36</v>
      </c>
      <c r="I31" t="s">
        <v>89</v>
      </c>
      <c r="J31" t="s">
        <v>52</v>
      </c>
      <c r="K31" t="s">
        <v>25</v>
      </c>
      <c r="L31" t="e">
        <f t="shared" si="4"/>
        <v>#VALUE!</v>
      </c>
      <c r="N31" t="s">
        <v>121</v>
      </c>
      <c r="O31" t="s">
        <v>122</v>
      </c>
      <c r="P31" s="4" t="str" cm="1">
        <f t="array" ref="P31">INDEX(_xlfn.TEXTSPLIT($Q31,{","," "}),1)</f>
        <v>Return of the Jedi</v>
      </c>
      <c r="Q31" t="s">
        <v>115</v>
      </c>
    </row>
    <row r="32" spans="1:17" ht="32.25">
      <c r="A32" t="s">
        <v>123</v>
      </c>
      <c r="B32">
        <v>193</v>
      </c>
      <c r="C32">
        <f t="shared" si="0"/>
        <v>1.93</v>
      </c>
      <c r="D32">
        <v>89</v>
      </c>
      <c r="E32" s="4">
        <f t="shared" si="1"/>
        <v>23.893258879433006</v>
      </c>
      <c r="F32" s="4">
        <f t="shared" si="2"/>
        <v>-9.4368068004023016</v>
      </c>
      <c r="G32" s="4">
        <f t="shared" si="3"/>
        <v>33</v>
      </c>
      <c r="H32" t="s">
        <v>40</v>
      </c>
      <c r="I32" t="s">
        <v>19</v>
      </c>
      <c r="J32" t="s">
        <v>20</v>
      </c>
      <c r="K32">
        <v>92</v>
      </c>
      <c r="L32">
        <f t="shared" si="4"/>
        <v>33580</v>
      </c>
      <c r="N32" t="s">
        <v>25</v>
      </c>
      <c r="O32" t="s">
        <v>22</v>
      </c>
      <c r="P32" s="4" t="str" cm="1">
        <f t="array" ref="P32">INDEX(_xlfn.TEXTSPLIT($Q32,{","," "}),1)</f>
        <v>The Phantom Menace</v>
      </c>
      <c r="Q32" t="s">
        <v>124</v>
      </c>
    </row>
    <row r="33" spans="1:17" ht="32.25">
      <c r="A33" t="s">
        <v>125</v>
      </c>
      <c r="B33">
        <v>191</v>
      </c>
      <c r="C33">
        <f t="shared" si="0"/>
        <v>1.91</v>
      </c>
      <c r="D33">
        <v>90</v>
      </c>
      <c r="E33" s="4">
        <f t="shared" si="1"/>
        <v>24.670376360297141</v>
      </c>
      <c r="F33" s="4">
        <f t="shared" si="2"/>
        <v>-8.6596893195381668</v>
      </c>
      <c r="G33" s="4">
        <f t="shared" si="3"/>
        <v>30</v>
      </c>
      <c r="H33" t="s">
        <v>36</v>
      </c>
      <c r="I33" t="s">
        <v>126</v>
      </c>
      <c r="J33" t="s">
        <v>32</v>
      </c>
      <c r="K33" t="s">
        <v>25</v>
      </c>
      <c r="L33" t="e">
        <f t="shared" si="4"/>
        <v>#VALUE!</v>
      </c>
      <c r="N33" t="s">
        <v>127</v>
      </c>
      <c r="O33" t="s">
        <v>128</v>
      </c>
      <c r="P33" s="4" t="str" cm="1">
        <f t="array" ref="P33">INDEX(_xlfn.TEXTSPLIT($Q33,{","," "}),1)</f>
        <v>Attack of the Clones</v>
      </c>
      <c r="Q33" t="s">
        <v>58</v>
      </c>
    </row>
    <row r="34" spans="1:17" ht="32.25">
      <c r="A34" t="s">
        <v>129</v>
      </c>
      <c r="B34">
        <v>170</v>
      </c>
      <c r="C34">
        <f t="shared" si="0"/>
        <v>1.7</v>
      </c>
      <c r="D34" t="s">
        <v>25</v>
      </c>
      <c r="E34" s="4">
        <f t="shared" si="1"/>
        <v>0</v>
      </c>
      <c r="F34" s="4">
        <f t="shared" si="2"/>
        <v>-33.330065679835307</v>
      </c>
      <c r="G34" s="4">
        <f t="shared" si="3"/>
        <v>60</v>
      </c>
      <c r="H34" t="s">
        <v>18</v>
      </c>
      <c r="I34" t="s">
        <v>19</v>
      </c>
      <c r="J34" t="s">
        <v>20</v>
      </c>
      <c r="K34">
        <v>91</v>
      </c>
      <c r="L34">
        <f t="shared" si="4"/>
        <v>33215</v>
      </c>
      <c r="N34" t="s">
        <v>130</v>
      </c>
      <c r="O34" t="s">
        <v>22</v>
      </c>
      <c r="P34" s="4" t="str" cm="1">
        <f t="array" ref="P34">INDEX(_xlfn.TEXTSPLIT($Q34,{","," "}),1)</f>
        <v>The Phantom Menace</v>
      </c>
      <c r="Q34" t="s">
        <v>124</v>
      </c>
    </row>
    <row r="35" spans="1:17" ht="32.25">
      <c r="A35" t="s">
        <v>131</v>
      </c>
      <c r="B35">
        <v>196</v>
      </c>
      <c r="C35">
        <f t="shared" si="0"/>
        <v>1.96</v>
      </c>
      <c r="D35">
        <v>66</v>
      </c>
      <c r="E35" s="4">
        <f t="shared" si="1"/>
        <v>17.180341524364849</v>
      </c>
      <c r="F35" s="4">
        <f t="shared" si="2"/>
        <v>-16.149724155470459</v>
      </c>
      <c r="G35" s="4">
        <f t="shared" si="3"/>
        <v>53</v>
      </c>
      <c r="H35" t="s">
        <v>36</v>
      </c>
      <c r="I35" t="s">
        <v>76</v>
      </c>
      <c r="J35" t="s">
        <v>76</v>
      </c>
      <c r="K35">
        <v>52</v>
      </c>
      <c r="L35">
        <f t="shared" si="4"/>
        <v>18980</v>
      </c>
      <c r="N35" t="s">
        <v>33</v>
      </c>
      <c r="O35" t="s">
        <v>132</v>
      </c>
      <c r="P35" s="4" t="str" cm="1">
        <f t="array" ref="P35">INDEX(_xlfn.TEXTSPLIT($Q35,{","," "}),1)</f>
        <v>Attack of the Clones</v>
      </c>
      <c r="Q35" t="s">
        <v>133</v>
      </c>
    </row>
    <row r="36" spans="1:17" ht="32.25">
      <c r="A36" t="s">
        <v>134</v>
      </c>
      <c r="B36">
        <v>224</v>
      </c>
      <c r="C36">
        <f t="shared" si="0"/>
        <v>2.2400000000000002</v>
      </c>
      <c r="D36">
        <v>82</v>
      </c>
      <c r="E36" s="4">
        <f t="shared" si="1"/>
        <v>16.342474489795915</v>
      </c>
      <c r="F36" s="4">
        <f t="shared" si="2"/>
        <v>-16.987591190039392</v>
      </c>
      <c r="G36" s="4">
        <f t="shared" si="3"/>
        <v>56</v>
      </c>
      <c r="H36" t="s">
        <v>36</v>
      </c>
      <c r="I36" t="s">
        <v>89</v>
      </c>
      <c r="J36" t="s">
        <v>76</v>
      </c>
      <c r="K36" t="s">
        <v>25</v>
      </c>
      <c r="L36" t="e">
        <f t="shared" si="4"/>
        <v>#VALUE!</v>
      </c>
      <c r="N36" t="s">
        <v>33</v>
      </c>
      <c r="O36" t="s">
        <v>132</v>
      </c>
      <c r="P36" s="4" t="str" cm="1">
        <f t="array" ref="P36">INDEX(_xlfn.TEXTSPLIT($Q36,{","," "}),1)</f>
        <v>The Phantom Menace</v>
      </c>
      <c r="Q36" t="s">
        <v>124</v>
      </c>
    </row>
    <row r="37" spans="1:17" ht="32.25">
      <c r="A37" t="s">
        <v>135</v>
      </c>
      <c r="B37">
        <v>206</v>
      </c>
      <c r="C37">
        <f t="shared" si="0"/>
        <v>2.06</v>
      </c>
      <c r="D37" t="s">
        <v>25</v>
      </c>
      <c r="E37" s="4">
        <f t="shared" si="1"/>
        <v>0</v>
      </c>
      <c r="F37" s="4">
        <f t="shared" si="2"/>
        <v>-33.330065679835307</v>
      </c>
      <c r="G37" s="4">
        <f t="shared" si="3"/>
        <v>60</v>
      </c>
      <c r="H37" t="s">
        <v>36</v>
      </c>
      <c r="I37" t="s">
        <v>71</v>
      </c>
      <c r="J37" t="s">
        <v>76</v>
      </c>
      <c r="K37" t="s">
        <v>25</v>
      </c>
      <c r="L37" t="e">
        <f t="shared" si="4"/>
        <v>#VALUE!</v>
      </c>
      <c r="N37" t="s">
        <v>33</v>
      </c>
      <c r="O37" t="s">
        <v>132</v>
      </c>
      <c r="P37" s="4" t="str" cm="1">
        <f t="array" ref="P37">INDEX(_xlfn.TEXTSPLIT($Q37,{","," "}),1)</f>
        <v>The Phantom Menace</v>
      </c>
      <c r="Q37" t="s">
        <v>124</v>
      </c>
    </row>
    <row r="38" spans="1:17" ht="32.25">
      <c r="A38" t="s">
        <v>136</v>
      </c>
      <c r="B38">
        <v>183</v>
      </c>
      <c r="C38">
        <f t="shared" si="0"/>
        <v>1.83</v>
      </c>
      <c r="D38" t="s">
        <v>25</v>
      </c>
      <c r="E38" s="4">
        <f t="shared" si="1"/>
        <v>0</v>
      </c>
      <c r="F38" s="4">
        <f t="shared" si="2"/>
        <v>-33.330065679835307</v>
      </c>
      <c r="G38" s="4">
        <f t="shared" si="3"/>
        <v>60</v>
      </c>
      <c r="H38" t="s">
        <v>40</v>
      </c>
      <c r="I38" t="s">
        <v>19</v>
      </c>
      <c r="J38" t="s">
        <v>20</v>
      </c>
      <c r="K38" t="s">
        <v>25</v>
      </c>
      <c r="L38" t="e">
        <f t="shared" si="4"/>
        <v>#VALUE!</v>
      </c>
      <c r="N38" t="s">
        <v>33</v>
      </c>
      <c r="O38" t="s">
        <v>25</v>
      </c>
      <c r="P38" s="4" t="str" cm="1">
        <f t="array" ref="P38">INDEX(_xlfn.TEXTSPLIT($Q38,{","," "}),1)</f>
        <v>The Phantom Menace</v>
      </c>
      <c r="Q38" t="s">
        <v>124</v>
      </c>
    </row>
    <row r="39" spans="1:17" ht="32.25">
      <c r="A39" t="s">
        <v>137</v>
      </c>
      <c r="B39">
        <v>137</v>
      </c>
      <c r="C39">
        <f t="shared" si="0"/>
        <v>1.37</v>
      </c>
      <c r="D39" t="s">
        <v>25</v>
      </c>
      <c r="E39" s="4">
        <f t="shared" si="1"/>
        <v>0</v>
      </c>
      <c r="F39" s="4">
        <f t="shared" si="2"/>
        <v>-33.330065679835307</v>
      </c>
      <c r="G39" s="4">
        <f t="shared" si="3"/>
        <v>60</v>
      </c>
      <c r="H39" t="s">
        <v>52</v>
      </c>
      <c r="I39" t="s">
        <v>138</v>
      </c>
      <c r="J39" t="s">
        <v>27</v>
      </c>
      <c r="K39" t="s">
        <v>25</v>
      </c>
      <c r="L39" t="e">
        <f t="shared" si="4"/>
        <v>#VALUE!</v>
      </c>
      <c r="N39" t="s">
        <v>139</v>
      </c>
      <c r="O39" t="s">
        <v>140</v>
      </c>
      <c r="P39" s="4" t="str" cm="1">
        <f t="array" ref="P39">INDEX(_xlfn.TEXTSPLIT($Q39,{","," "}),1)</f>
        <v/>
      </c>
      <c r="Q39" t="s">
        <v>141</v>
      </c>
    </row>
    <row r="40" spans="1:17" ht="32.25">
      <c r="A40" t="s">
        <v>142</v>
      </c>
      <c r="B40">
        <v>112</v>
      </c>
      <c r="C40">
        <f t="shared" si="0"/>
        <v>1.1200000000000001</v>
      </c>
      <c r="D40">
        <v>40</v>
      </c>
      <c r="E40" s="4">
        <f t="shared" si="1"/>
        <v>31.887755102040813</v>
      </c>
      <c r="F40" s="4">
        <f t="shared" si="2"/>
        <v>-1.442310577794494</v>
      </c>
      <c r="G40" s="4">
        <f t="shared" si="3"/>
        <v>11</v>
      </c>
      <c r="H40" t="s">
        <v>36</v>
      </c>
      <c r="I40" t="s">
        <v>143</v>
      </c>
      <c r="J40" t="s">
        <v>76</v>
      </c>
      <c r="K40" t="s">
        <v>25</v>
      </c>
      <c r="L40" t="e">
        <f t="shared" si="4"/>
        <v>#VALUE!</v>
      </c>
      <c r="N40" t="s">
        <v>144</v>
      </c>
      <c r="O40" t="s">
        <v>145</v>
      </c>
      <c r="P40" s="4" t="str" cm="1">
        <f t="array" ref="P40">INDEX(_xlfn.TEXTSPLIT($Q40,{","," "}),1)</f>
        <v>The Phantom Menace</v>
      </c>
      <c r="Q40" t="s">
        <v>124</v>
      </c>
    </row>
    <row r="41" spans="1:17" ht="32.25">
      <c r="A41" t="s">
        <v>146</v>
      </c>
      <c r="B41">
        <v>183</v>
      </c>
      <c r="C41">
        <f t="shared" si="0"/>
        <v>1.83</v>
      </c>
      <c r="D41" t="s">
        <v>25</v>
      </c>
      <c r="E41" s="4">
        <f t="shared" si="1"/>
        <v>0</v>
      </c>
      <c r="F41" s="4">
        <f t="shared" si="2"/>
        <v>-33.330065679835307</v>
      </c>
      <c r="G41" s="4">
        <f t="shared" si="3"/>
        <v>60</v>
      </c>
      <c r="H41" t="s">
        <v>52</v>
      </c>
      <c r="I41" t="s">
        <v>102</v>
      </c>
      <c r="J41" t="s">
        <v>40</v>
      </c>
      <c r="K41">
        <v>62</v>
      </c>
      <c r="L41">
        <f t="shared" si="4"/>
        <v>22630</v>
      </c>
      <c r="N41" t="s">
        <v>33</v>
      </c>
      <c r="O41" t="s">
        <v>25</v>
      </c>
      <c r="P41" s="4" t="str" cm="1">
        <f t="array" ref="P41">INDEX(_xlfn.TEXTSPLIT($Q41,{","," "}),1)</f>
        <v>The Phantom Menace</v>
      </c>
      <c r="Q41" t="s">
        <v>124</v>
      </c>
    </row>
    <row r="42" spans="1:17" ht="32.25">
      <c r="A42" t="s">
        <v>147</v>
      </c>
      <c r="B42">
        <v>163</v>
      </c>
      <c r="C42">
        <f t="shared" si="0"/>
        <v>1.63</v>
      </c>
      <c r="D42" t="s">
        <v>25</v>
      </c>
      <c r="E42" s="4">
        <f t="shared" si="1"/>
        <v>0</v>
      </c>
      <c r="F42" s="4">
        <f t="shared" si="2"/>
        <v>-33.330065679835307</v>
      </c>
      <c r="G42" s="4">
        <f t="shared" si="3"/>
        <v>60</v>
      </c>
      <c r="H42" t="s">
        <v>52</v>
      </c>
      <c r="I42" t="s">
        <v>19</v>
      </c>
      <c r="J42" t="s">
        <v>40</v>
      </c>
      <c r="K42">
        <v>72</v>
      </c>
      <c r="L42">
        <f t="shared" si="4"/>
        <v>26280</v>
      </c>
      <c r="N42" t="s">
        <v>21</v>
      </c>
      <c r="O42" t="s">
        <v>22</v>
      </c>
      <c r="P42" s="4" t="str" cm="1">
        <f t="array" ref="P42">INDEX(_xlfn.TEXTSPLIT($Q42,{","," "}),1)</f>
        <v/>
      </c>
      <c r="Q42" t="s">
        <v>141</v>
      </c>
    </row>
    <row r="43" spans="1:17" ht="32.25">
      <c r="A43" t="s">
        <v>148</v>
      </c>
      <c r="B43">
        <v>175</v>
      </c>
      <c r="C43">
        <f t="shared" si="0"/>
        <v>1.75</v>
      </c>
      <c r="D43">
        <v>80</v>
      </c>
      <c r="E43" s="4">
        <f t="shared" si="1"/>
        <v>26.122448979591837</v>
      </c>
      <c r="F43" s="4">
        <f t="shared" si="2"/>
        <v>-7.2076167002434701</v>
      </c>
      <c r="G43" s="4">
        <f t="shared" si="3"/>
        <v>17</v>
      </c>
      <c r="H43" t="s">
        <v>36</v>
      </c>
      <c r="I43" t="s">
        <v>32</v>
      </c>
      <c r="J43" t="s">
        <v>27</v>
      </c>
      <c r="K43">
        <v>54</v>
      </c>
      <c r="L43">
        <f t="shared" si="4"/>
        <v>19710</v>
      </c>
      <c r="N43" t="s">
        <v>149</v>
      </c>
      <c r="O43" t="s">
        <v>150</v>
      </c>
      <c r="P43" s="4" t="str" cm="1">
        <f t="array" ref="P43">INDEX(_xlfn.TEXTSPLIT($Q43,{","," "}),1)</f>
        <v>The Phantom Menace</v>
      </c>
      <c r="Q43" t="s">
        <v>124</v>
      </c>
    </row>
    <row r="44" spans="1:17" ht="32.25">
      <c r="A44" t="s">
        <v>151</v>
      </c>
      <c r="B44">
        <v>180</v>
      </c>
      <c r="C44">
        <f t="shared" si="0"/>
        <v>1.8</v>
      </c>
      <c r="D44" t="s">
        <v>25</v>
      </c>
      <c r="E44" s="4">
        <f t="shared" si="1"/>
        <v>0</v>
      </c>
      <c r="F44" s="4">
        <f t="shared" si="2"/>
        <v>-33.330065679835307</v>
      </c>
      <c r="G44" s="4">
        <f t="shared" si="3"/>
        <v>60</v>
      </c>
      <c r="H44" t="s">
        <v>36</v>
      </c>
      <c r="I44" t="s">
        <v>90</v>
      </c>
      <c r="J44" t="s">
        <v>152</v>
      </c>
      <c r="K44" t="s">
        <v>25</v>
      </c>
      <c r="L44" t="e">
        <f t="shared" si="4"/>
        <v>#VALUE!</v>
      </c>
      <c r="N44" t="s">
        <v>153</v>
      </c>
      <c r="O44" t="s">
        <v>154</v>
      </c>
      <c r="P44" s="4" t="str" cm="1">
        <f t="array" ref="P44">INDEX(_xlfn.TEXTSPLIT($Q44,{","," "}),1)</f>
        <v>Return of the Jedi</v>
      </c>
      <c r="Q44" t="s">
        <v>115</v>
      </c>
    </row>
    <row r="45" spans="1:17" ht="32.25">
      <c r="A45" t="s">
        <v>155</v>
      </c>
      <c r="B45">
        <v>178</v>
      </c>
      <c r="C45">
        <f t="shared" si="0"/>
        <v>1.78</v>
      </c>
      <c r="D45">
        <v>55</v>
      </c>
      <c r="E45" s="4">
        <f t="shared" si="1"/>
        <v>17.35891932836763</v>
      </c>
      <c r="F45" s="4">
        <f t="shared" si="2"/>
        <v>-15.971146351467677</v>
      </c>
      <c r="G45" s="4">
        <f t="shared" si="3"/>
        <v>52</v>
      </c>
      <c r="H45" t="s">
        <v>36</v>
      </c>
      <c r="I45" t="s">
        <v>20</v>
      </c>
      <c r="J45" t="s">
        <v>81</v>
      </c>
      <c r="K45">
        <v>48</v>
      </c>
      <c r="L45">
        <f t="shared" si="4"/>
        <v>17520</v>
      </c>
      <c r="N45" t="s">
        <v>153</v>
      </c>
      <c r="O45" t="s">
        <v>154</v>
      </c>
      <c r="P45" s="4" t="str" cm="1">
        <f t="array" ref="P45">INDEX(_xlfn.TEXTSPLIT($Q45,{","," "}),1)</f>
        <v/>
      </c>
      <c r="Q45" t="s">
        <v>156</v>
      </c>
    </row>
    <row r="46" spans="1:17" ht="32.25">
      <c r="A46" t="s">
        <v>157</v>
      </c>
      <c r="B46">
        <v>94</v>
      </c>
      <c r="C46">
        <f t="shared" si="0"/>
        <v>0.94</v>
      </c>
      <c r="D46">
        <v>45</v>
      </c>
      <c r="E46" s="4">
        <f t="shared" si="1"/>
        <v>50.928021729289277</v>
      </c>
      <c r="F46" s="4">
        <f t="shared" si="2"/>
        <v>17.59795604945397</v>
      </c>
      <c r="G46" s="4">
        <f t="shared" si="3"/>
        <v>2</v>
      </c>
      <c r="H46" t="s">
        <v>36</v>
      </c>
      <c r="I46" t="s">
        <v>138</v>
      </c>
      <c r="J46" t="s">
        <v>27</v>
      </c>
      <c r="K46" t="s">
        <v>25</v>
      </c>
      <c r="L46" t="e">
        <f t="shared" si="4"/>
        <v>#VALUE!</v>
      </c>
      <c r="N46" t="s">
        <v>158</v>
      </c>
      <c r="O46" t="s">
        <v>159</v>
      </c>
      <c r="P46" s="4" t="str" cm="1">
        <f t="array" ref="P46">INDEX(_xlfn.TEXTSPLIT($Q46,{","," "}),1)</f>
        <v>The Phantom Menace</v>
      </c>
      <c r="Q46" t="s">
        <v>124</v>
      </c>
    </row>
    <row r="47" spans="1:17" ht="32.25">
      <c r="A47" t="s">
        <v>160</v>
      </c>
      <c r="B47">
        <v>122</v>
      </c>
      <c r="C47">
        <f t="shared" si="0"/>
        <v>1.22</v>
      </c>
      <c r="D47" t="s">
        <v>25</v>
      </c>
      <c r="E47" s="4">
        <f t="shared" si="1"/>
        <v>0</v>
      </c>
      <c r="F47" s="4">
        <f t="shared" si="2"/>
        <v>-33.330065679835307</v>
      </c>
      <c r="G47" s="4">
        <f t="shared" si="3"/>
        <v>60</v>
      </c>
      <c r="H47" t="s">
        <v>36</v>
      </c>
      <c r="I47" t="s">
        <v>31</v>
      </c>
      <c r="J47" t="s">
        <v>52</v>
      </c>
      <c r="K47" t="s">
        <v>25</v>
      </c>
      <c r="L47" t="e">
        <f t="shared" si="4"/>
        <v>#VALUE!</v>
      </c>
      <c r="N47" t="s">
        <v>161</v>
      </c>
      <c r="O47" t="s">
        <v>162</v>
      </c>
      <c r="P47" s="4" t="str" cm="1">
        <f t="array" ref="P47">INDEX(_xlfn.TEXTSPLIT($Q47,{","," "}),1)</f>
        <v>The Phantom Menace</v>
      </c>
      <c r="Q47" t="s">
        <v>124</v>
      </c>
    </row>
    <row r="48" spans="1:17" ht="32.25">
      <c r="A48" t="s">
        <v>163</v>
      </c>
      <c r="B48">
        <v>163</v>
      </c>
      <c r="C48">
        <f t="shared" si="0"/>
        <v>1.63</v>
      </c>
      <c r="D48">
        <v>65</v>
      </c>
      <c r="E48" s="4">
        <f t="shared" si="1"/>
        <v>24.464601603372351</v>
      </c>
      <c r="F48" s="4">
        <f t="shared" si="2"/>
        <v>-8.8654640764629562</v>
      </c>
      <c r="G48" s="4">
        <f t="shared" si="3"/>
        <v>31</v>
      </c>
      <c r="H48" t="s">
        <v>36</v>
      </c>
      <c r="I48" t="s">
        <v>164</v>
      </c>
      <c r="J48" t="s">
        <v>76</v>
      </c>
      <c r="K48" t="s">
        <v>25</v>
      </c>
      <c r="L48" t="e">
        <f t="shared" si="4"/>
        <v>#VALUE!</v>
      </c>
      <c r="N48" t="s">
        <v>165</v>
      </c>
      <c r="O48" t="s">
        <v>166</v>
      </c>
      <c r="P48" s="4" t="str" cm="1">
        <f t="array" ref="P48">INDEX(_xlfn.TEXTSPLIT($Q48,{","," "}),1)</f>
        <v>The Phantom Menace</v>
      </c>
      <c r="Q48" t="s">
        <v>124</v>
      </c>
    </row>
    <row r="49" spans="1:17" ht="32.25">
      <c r="A49" t="s">
        <v>167</v>
      </c>
      <c r="B49">
        <v>188</v>
      </c>
      <c r="C49">
        <f t="shared" si="0"/>
        <v>1.88</v>
      </c>
      <c r="D49">
        <v>84</v>
      </c>
      <c r="E49" s="4">
        <f t="shared" si="1"/>
        <v>23.766410140334994</v>
      </c>
      <c r="F49" s="4">
        <f t="shared" si="2"/>
        <v>-9.5636555395003136</v>
      </c>
      <c r="G49" s="4">
        <f t="shared" si="3"/>
        <v>35</v>
      </c>
      <c r="H49" t="s">
        <v>36</v>
      </c>
      <c r="I49" t="s">
        <v>102</v>
      </c>
      <c r="J49" t="s">
        <v>40</v>
      </c>
      <c r="K49">
        <v>72</v>
      </c>
      <c r="L49">
        <f t="shared" si="4"/>
        <v>26280</v>
      </c>
      <c r="N49" t="s">
        <v>168</v>
      </c>
      <c r="O49" t="s">
        <v>22</v>
      </c>
      <c r="P49" s="4" t="str" cm="1">
        <f t="array" ref="P49">INDEX(_xlfn.TEXTSPLIT($Q49,{","," "}),1)</f>
        <v>Attack of the Clones</v>
      </c>
      <c r="Q49" t="s">
        <v>58</v>
      </c>
    </row>
    <row r="50" spans="1:17" ht="32.25">
      <c r="A50" t="s">
        <v>169</v>
      </c>
      <c r="B50">
        <v>198</v>
      </c>
      <c r="C50">
        <f t="shared" si="0"/>
        <v>1.98</v>
      </c>
      <c r="D50">
        <v>82</v>
      </c>
      <c r="E50" s="4">
        <f t="shared" si="1"/>
        <v>20.91623303744516</v>
      </c>
      <c r="F50" s="4">
        <f t="shared" si="2"/>
        <v>-12.413832642390147</v>
      </c>
      <c r="G50" s="4">
        <f t="shared" si="3"/>
        <v>46</v>
      </c>
      <c r="H50" t="s">
        <v>37</v>
      </c>
      <c r="I50" t="s">
        <v>90</v>
      </c>
      <c r="J50" t="s">
        <v>27</v>
      </c>
      <c r="K50">
        <v>92</v>
      </c>
      <c r="L50">
        <f t="shared" si="4"/>
        <v>33580</v>
      </c>
      <c r="N50" t="s">
        <v>170</v>
      </c>
      <c r="O50" t="s">
        <v>171</v>
      </c>
      <c r="P50" s="4" t="str" cm="1">
        <f t="array" ref="P50">INDEX(_xlfn.TEXTSPLIT($Q50,{","," "}),1)</f>
        <v>Attack of the Clones</v>
      </c>
      <c r="Q50" t="s">
        <v>58</v>
      </c>
    </row>
    <row r="51" spans="1:17" ht="32.25">
      <c r="A51" t="s">
        <v>172</v>
      </c>
      <c r="B51">
        <v>196</v>
      </c>
      <c r="C51">
        <f t="shared" si="0"/>
        <v>1.96</v>
      </c>
      <c r="D51">
        <v>87</v>
      </c>
      <c r="E51" s="4">
        <f t="shared" si="1"/>
        <v>22.646813827571847</v>
      </c>
      <c r="F51" s="4">
        <f t="shared" si="2"/>
        <v>-10.68325185226346</v>
      </c>
      <c r="G51" s="4">
        <f t="shared" si="3"/>
        <v>40</v>
      </c>
      <c r="H51" t="s">
        <v>36</v>
      </c>
      <c r="I51" t="s">
        <v>71</v>
      </c>
      <c r="J51" t="s">
        <v>52</v>
      </c>
      <c r="K51" t="s">
        <v>25</v>
      </c>
      <c r="L51" t="e">
        <f t="shared" si="4"/>
        <v>#VALUE!</v>
      </c>
      <c r="N51" t="s">
        <v>173</v>
      </c>
      <c r="O51" t="s">
        <v>174</v>
      </c>
      <c r="P51" s="4" t="str" cm="1">
        <f t="array" ref="P51">INDEX(_xlfn.TEXTSPLIT($Q51,{","," "}),1)</f>
        <v>Attack of the Clones</v>
      </c>
      <c r="Q51" t="s">
        <v>58</v>
      </c>
    </row>
    <row r="52" spans="1:17" ht="32.25">
      <c r="A52" t="s">
        <v>175</v>
      </c>
      <c r="B52">
        <v>171</v>
      </c>
      <c r="C52">
        <f t="shared" si="0"/>
        <v>1.71</v>
      </c>
      <c r="D52" t="s">
        <v>25</v>
      </c>
      <c r="E52" s="4">
        <f t="shared" si="1"/>
        <v>0</v>
      </c>
      <c r="F52" s="4">
        <f t="shared" si="2"/>
        <v>-33.330065679835307</v>
      </c>
      <c r="G52" s="4">
        <f t="shared" si="3"/>
        <v>60</v>
      </c>
      <c r="H52" t="s">
        <v>52</v>
      </c>
      <c r="I52" t="s">
        <v>40</v>
      </c>
      <c r="J52" t="s">
        <v>40</v>
      </c>
      <c r="K52" t="s">
        <v>25</v>
      </c>
      <c r="L52" t="e">
        <f t="shared" si="4"/>
        <v>#VALUE!</v>
      </c>
      <c r="N52" t="s">
        <v>176</v>
      </c>
      <c r="O52" t="s">
        <v>150</v>
      </c>
      <c r="P52" s="4" t="str" cm="1">
        <f t="array" ref="P52">INDEX(_xlfn.TEXTSPLIT($Q52,{","," "}),1)</f>
        <v>The Phantom Menace</v>
      </c>
      <c r="Q52" t="s">
        <v>177</v>
      </c>
    </row>
    <row r="53" spans="1:17" ht="32.25">
      <c r="A53" t="s">
        <v>178</v>
      </c>
      <c r="B53">
        <v>184</v>
      </c>
      <c r="C53">
        <f t="shared" si="0"/>
        <v>1.84</v>
      </c>
      <c r="D53">
        <v>50</v>
      </c>
      <c r="E53" s="4">
        <f t="shared" si="1"/>
        <v>14.768431001890358</v>
      </c>
      <c r="F53" s="4">
        <f t="shared" si="2"/>
        <v>-18.561634677944951</v>
      </c>
      <c r="G53" s="4">
        <f t="shared" si="3"/>
        <v>58</v>
      </c>
      <c r="H53" t="s">
        <v>36</v>
      </c>
      <c r="I53" t="s">
        <v>102</v>
      </c>
      <c r="J53" t="s">
        <v>20</v>
      </c>
      <c r="K53" t="s">
        <v>25</v>
      </c>
      <c r="L53" t="e">
        <f t="shared" si="4"/>
        <v>#VALUE!</v>
      </c>
      <c r="N53" t="s">
        <v>130</v>
      </c>
      <c r="O53" t="s">
        <v>179</v>
      </c>
      <c r="P53" s="4" t="str" cm="1">
        <f t="array" ref="P53">INDEX(_xlfn.TEXTSPLIT($Q53,{","," "}),1)</f>
        <v>The Phantom Menace</v>
      </c>
      <c r="Q53" t="s">
        <v>177</v>
      </c>
    </row>
    <row r="54" spans="1:17" ht="32.25">
      <c r="A54" t="s">
        <v>180</v>
      </c>
      <c r="B54">
        <v>188</v>
      </c>
      <c r="C54">
        <f t="shared" si="0"/>
        <v>1.88</v>
      </c>
      <c r="D54" t="s">
        <v>25</v>
      </c>
      <c r="E54" s="4">
        <f t="shared" si="1"/>
        <v>0</v>
      </c>
      <c r="F54" s="4">
        <f t="shared" si="2"/>
        <v>-33.330065679835307</v>
      </c>
      <c r="G54" s="4">
        <f t="shared" si="3"/>
        <v>60</v>
      </c>
      <c r="H54" t="s">
        <v>36</v>
      </c>
      <c r="I54" t="s">
        <v>90</v>
      </c>
      <c r="J54" t="s">
        <v>76</v>
      </c>
      <c r="K54" t="s">
        <v>25</v>
      </c>
      <c r="L54" t="e">
        <f t="shared" si="4"/>
        <v>#VALUE!</v>
      </c>
      <c r="N54" t="s">
        <v>181</v>
      </c>
      <c r="O54" t="s">
        <v>182</v>
      </c>
      <c r="P54" s="4" t="str" cm="1">
        <f t="array" ref="P54">INDEX(_xlfn.TEXTSPLIT($Q54,{","," "}),1)</f>
        <v>The Phantom Menace</v>
      </c>
      <c r="Q54" t="s">
        <v>177</v>
      </c>
    </row>
    <row r="55" spans="1:17" ht="32.25">
      <c r="A55" t="s">
        <v>183</v>
      </c>
      <c r="B55">
        <v>264</v>
      </c>
      <c r="C55">
        <f t="shared" si="0"/>
        <v>2.64</v>
      </c>
      <c r="D55" t="s">
        <v>25</v>
      </c>
      <c r="E55" s="4">
        <f t="shared" si="1"/>
        <v>0</v>
      </c>
      <c r="F55" s="4">
        <f t="shared" si="2"/>
        <v>-33.330065679835307</v>
      </c>
      <c r="G55" s="4">
        <f t="shared" si="3"/>
        <v>60</v>
      </c>
      <c r="H55" t="s">
        <v>36</v>
      </c>
      <c r="I55" t="s">
        <v>37</v>
      </c>
      <c r="J55" t="s">
        <v>27</v>
      </c>
      <c r="K55" t="s">
        <v>25</v>
      </c>
      <c r="L55" t="e">
        <f t="shared" si="4"/>
        <v>#VALUE!</v>
      </c>
      <c r="N55" t="s">
        <v>184</v>
      </c>
      <c r="O55" t="s">
        <v>185</v>
      </c>
      <c r="P55" s="4" t="str" cm="1">
        <f t="array" ref="P55">INDEX(_xlfn.TEXTSPLIT($Q55,{","," "}),1)</f>
        <v>The Phantom Menace</v>
      </c>
      <c r="Q55" t="s">
        <v>124</v>
      </c>
    </row>
    <row r="56" spans="1:17" ht="32.25">
      <c r="A56" t="s">
        <v>186</v>
      </c>
      <c r="B56">
        <v>188</v>
      </c>
      <c r="C56">
        <f t="shared" si="0"/>
        <v>1.88</v>
      </c>
      <c r="D56">
        <v>80</v>
      </c>
      <c r="E56" s="4">
        <f t="shared" si="1"/>
        <v>22.634676324128566</v>
      </c>
      <c r="F56" s="4">
        <f t="shared" si="2"/>
        <v>-10.695389355706741</v>
      </c>
      <c r="G56" s="4">
        <f t="shared" si="3"/>
        <v>41</v>
      </c>
      <c r="H56" t="s">
        <v>36</v>
      </c>
      <c r="I56" t="s">
        <v>76</v>
      </c>
      <c r="J56" t="s">
        <v>52</v>
      </c>
      <c r="K56">
        <v>22</v>
      </c>
      <c r="L56">
        <f t="shared" si="4"/>
        <v>8030</v>
      </c>
      <c r="N56" t="s">
        <v>187</v>
      </c>
      <c r="O56" t="s">
        <v>188</v>
      </c>
      <c r="P56" s="4" t="str" cm="1">
        <f t="array" ref="P56">INDEX(_xlfn.TEXTSPLIT($Q56,{","," "}),1)</f>
        <v>Attack of the Clones</v>
      </c>
      <c r="Q56" t="s">
        <v>58</v>
      </c>
    </row>
    <row r="57" spans="1:17" ht="32.25">
      <c r="A57" t="s">
        <v>189</v>
      </c>
      <c r="B57">
        <v>196</v>
      </c>
      <c r="C57">
        <f t="shared" si="0"/>
        <v>1.96</v>
      </c>
      <c r="D57" t="s">
        <v>25</v>
      </c>
      <c r="E57" s="4">
        <f t="shared" si="1"/>
        <v>0</v>
      </c>
      <c r="F57" s="4">
        <f t="shared" si="2"/>
        <v>-33.330065679835307</v>
      </c>
      <c r="G57" s="4">
        <f t="shared" si="3"/>
        <v>60</v>
      </c>
      <c r="H57" t="s">
        <v>36</v>
      </c>
      <c r="I57" t="s">
        <v>20</v>
      </c>
      <c r="J57" t="s">
        <v>20</v>
      </c>
      <c r="K57" t="s">
        <v>25</v>
      </c>
      <c r="L57" t="e">
        <f t="shared" si="4"/>
        <v>#VALUE!</v>
      </c>
      <c r="N57" t="s">
        <v>190</v>
      </c>
      <c r="O57" t="s">
        <v>191</v>
      </c>
      <c r="P57" s="4" t="str" cm="1">
        <f t="array" ref="P57">INDEX(_xlfn.TEXTSPLIT($Q57,{","," "}),1)</f>
        <v>Attack of the Clones</v>
      </c>
      <c r="Q57" t="s">
        <v>133</v>
      </c>
    </row>
    <row r="58" spans="1:17" ht="32.25">
      <c r="A58" t="s">
        <v>192</v>
      </c>
      <c r="B58">
        <v>185</v>
      </c>
      <c r="C58">
        <f t="shared" si="0"/>
        <v>1.85</v>
      </c>
      <c r="D58">
        <v>85</v>
      </c>
      <c r="E58" s="4">
        <f t="shared" si="1"/>
        <v>24.835646457268076</v>
      </c>
      <c r="F58" s="4">
        <f t="shared" si="2"/>
        <v>-8.494419222567231</v>
      </c>
      <c r="G58" s="4">
        <f t="shared" si="3"/>
        <v>27</v>
      </c>
      <c r="H58" t="s">
        <v>52</v>
      </c>
      <c r="I58" t="s">
        <v>102</v>
      </c>
      <c r="J58" t="s">
        <v>40</v>
      </c>
      <c r="K58" t="s">
        <v>25</v>
      </c>
      <c r="L58" t="e">
        <f t="shared" si="4"/>
        <v>#VALUE!</v>
      </c>
      <c r="N58" t="s">
        <v>33</v>
      </c>
      <c r="O58" t="s">
        <v>22</v>
      </c>
      <c r="P58" s="4" t="str" cm="1">
        <f t="array" ref="P58">INDEX(_xlfn.TEXTSPLIT($Q58,{","," "}),1)</f>
        <v>Attack of the Clones</v>
      </c>
      <c r="Q58" t="s">
        <v>193</v>
      </c>
    </row>
    <row r="59" spans="1:17" ht="32.25">
      <c r="A59" t="s">
        <v>194</v>
      </c>
      <c r="B59">
        <v>157</v>
      </c>
      <c r="C59">
        <f t="shared" si="0"/>
        <v>1.57</v>
      </c>
      <c r="D59" t="s">
        <v>25</v>
      </c>
      <c r="E59" s="4">
        <f t="shared" si="1"/>
        <v>0</v>
      </c>
      <c r="F59" s="4">
        <f t="shared" si="2"/>
        <v>-33.330065679835307</v>
      </c>
      <c r="G59" s="4">
        <f t="shared" si="3"/>
        <v>60</v>
      </c>
      <c r="H59" t="s">
        <v>40</v>
      </c>
      <c r="I59" t="s">
        <v>41</v>
      </c>
      <c r="J59" t="s">
        <v>40</v>
      </c>
      <c r="K59" t="s">
        <v>25</v>
      </c>
      <c r="L59" t="e">
        <f t="shared" si="4"/>
        <v>#VALUE!</v>
      </c>
      <c r="N59" t="s">
        <v>33</v>
      </c>
      <c r="O59" t="s">
        <v>22</v>
      </c>
      <c r="P59" s="4" t="str" cm="1">
        <f t="array" ref="P59">INDEX(_xlfn.TEXTSPLIT($Q59,{","," "}),1)</f>
        <v>Attack of the Clones</v>
      </c>
      <c r="Q59" t="s">
        <v>193</v>
      </c>
    </row>
    <row r="60" spans="1:17" ht="32.25">
      <c r="A60" t="s">
        <v>195</v>
      </c>
      <c r="B60">
        <v>183</v>
      </c>
      <c r="C60">
        <f t="shared" si="0"/>
        <v>1.83</v>
      </c>
      <c r="D60" t="s">
        <v>25</v>
      </c>
      <c r="E60" s="4">
        <f t="shared" si="1"/>
        <v>0</v>
      </c>
      <c r="F60" s="4">
        <f t="shared" si="2"/>
        <v>-33.330065679835307</v>
      </c>
      <c r="G60" s="4">
        <f t="shared" si="3"/>
        <v>60</v>
      </c>
      <c r="H60" t="s">
        <v>40</v>
      </c>
      <c r="I60" t="s">
        <v>19</v>
      </c>
      <c r="J60" t="s">
        <v>20</v>
      </c>
      <c r="K60">
        <v>82</v>
      </c>
      <c r="L60">
        <f t="shared" si="4"/>
        <v>29930</v>
      </c>
      <c r="N60" t="s">
        <v>21</v>
      </c>
      <c r="O60" t="s">
        <v>22</v>
      </c>
      <c r="P60" s="4" t="str" cm="1">
        <f t="array" ref="P60">INDEX(_xlfn.TEXTSPLIT($Q60,{","," "}),1)</f>
        <v>Attack of the Clones</v>
      </c>
      <c r="Q60" t="s">
        <v>193</v>
      </c>
    </row>
    <row r="61" spans="1:17" ht="32.25">
      <c r="A61" t="s">
        <v>196</v>
      </c>
      <c r="B61">
        <v>183</v>
      </c>
      <c r="C61">
        <f t="shared" si="0"/>
        <v>1.83</v>
      </c>
      <c r="D61">
        <v>80</v>
      </c>
      <c r="E61" s="4">
        <f t="shared" si="1"/>
        <v>23.888440980620498</v>
      </c>
      <c r="F61" s="4">
        <f t="shared" si="2"/>
        <v>-9.4416246992148096</v>
      </c>
      <c r="G61" s="4">
        <f t="shared" si="3"/>
        <v>34</v>
      </c>
      <c r="H61" t="s">
        <v>36</v>
      </c>
      <c r="I61" t="s">
        <v>71</v>
      </c>
      <c r="J61" t="s">
        <v>27</v>
      </c>
      <c r="K61" t="s">
        <v>25</v>
      </c>
      <c r="L61" t="e">
        <f t="shared" si="4"/>
        <v>#VALUE!</v>
      </c>
      <c r="N61" t="s">
        <v>197</v>
      </c>
      <c r="O61" t="s">
        <v>198</v>
      </c>
      <c r="P61" s="4" t="str" cm="1">
        <f t="array" ref="P61">INDEX(_xlfn.TEXTSPLIT($Q61,{","," "}),1)</f>
        <v>Attack of the Clones</v>
      </c>
      <c r="Q61" t="s">
        <v>199</v>
      </c>
    </row>
    <row r="62" spans="1:17" ht="32.25">
      <c r="A62" t="s">
        <v>200</v>
      </c>
      <c r="B62">
        <v>170</v>
      </c>
      <c r="C62">
        <f t="shared" si="0"/>
        <v>1.7</v>
      </c>
      <c r="D62">
        <v>56.2</v>
      </c>
      <c r="E62" s="4">
        <f t="shared" si="1"/>
        <v>19.446366782006923</v>
      </c>
      <c r="F62" s="4">
        <f t="shared" si="2"/>
        <v>-13.883698897828385</v>
      </c>
      <c r="G62" s="4">
        <f t="shared" si="3"/>
        <v>48</v>
      </c>
      <c r="H62" t="s">
        <v>52</v>
      </c>
      <c r="I62" t="s">
        <v>27</v>
      </c>
      <c r="J62" t="s">
        <v>20</v>
      </c>
      <c r="K62">
        <v>58</v>
      </c>
      <c r="L62">
        <f t="shared" si="4"/>
        <v>21170</v>
      </c>
      <c r="N62" t="s">
        <v>201</v>
      </c>
      <c r="O62" t="s">
        <v>202</v>
      </c>
      <c r="P62" s="4" t="str" cm="1">
        <f t="array" ref="P62">INDEX(_xlfn.TEXTSPLIT($Q62,{","," "}),1)</f>
        <v>Attack of the Clones</v>
      </c>
      <c r="Q62" t="s">
        <v>199</v>
      </c>
    </row>
    <row r="63" spans="1:17" ht="32.25">
      <c r="A63" t="s">
        <v>203</v>
      </c>
      <c r="B63">
        <v>166</v>
      </c>
      <c r="C63">
        <f t="shared" si="0"/>
        <v>1.66</v>
      </c>
      <c r="D63">
        <v>50</v>
      </c>
      <c r="E63" s="4">
        <f t="shared" si="1"/>
        <v>18.144868631151112</v>
      </c>
      <c r="F63" s="4">
        <f t="shared" si="2"/>
        <v>-15.185197048684195</v>
      </c>
      <c r="G63" s="4">
        <f t="shared" si="3"/>
        <v>50</v>
      </c>
      <c r="H63" t="s">
        <v>52</v>
      </c>
      <c r="I63" t="s">
        <v>27</v>
      </c>
      <c r="J63" t="s">
        <v>20</v>
      </c>
      <c r="K63">
        <v>40</v>
      </c>
      <c r="L63">
        <f t="shared" si="4"/>
        <v>14600</v>
      </c>
      <c r="N63" t="s">
        <v>201</v>
      </c>
      <c r="O63" t="s">
        <v>202</v>
      </c>
      <c r="P63" s="4" t="str" cm="1">
        <f t="array" ref="P63">INDEX(_xlfn.TEXTSPLIT($Q63,{","," "}),1)</f>
        <v>Attack of the Clones</v>
      </c>
      <c r="Q63" t="s">
        <v>193</v>
      </c>
    </row>
    <row r="64" spans="1:17" ht="32.25">
      <c r="A64" t="s">
        <v>204</v>
      </c>
      <c r="B64">
        <v>165</v>
      </c>
      <c r="C64">
        <f t="shared" si="0"/>
        <v>1.65</v>
      </c>
      <c r="D64" t="s">
        <v>25</v>
      </c>
      <c r="E64" s="4">
        <f t="shared" si="1"/>
        <v>0</v>
      </c>
      <c r="F64" s="4">
        <f t="shared" si="2"/>
        <v>-33.330065679835307</v>
      </c>
      <c r="G64" s="4">
        <f t="shared" si="3"/>
        <v>60</v>
      </c>
      <c r="H64" t="s">
        <v>40</v>
      </c>
      <c r="I64" t="s">
        <v>41</v>
      </c>
      <c r="J64" t="s">
        <v>40</v>
      </c>
      <c r="K64" t="s">
        <v>25</v>
      </c>
      <c r="L64" t="e">
        <f t="shared" si="4"/>
        <v>#VALUE!</v>
      </c>
      <c r="N64" t="s">
        <v>33</v>
      </c>
      <c r="O64" t="s">
        <v>22</v>
      </c>
      <c r="P64" s="4" t="str" cm="1">
        <f t="array" ref="P64">INDEX(_xlfn.TEXTSPLIT($Q64,{","," "}),1)</f>
        <v>Attack of the Clones</v>
      </c>
      <c r="Q64" t="s">
        <v>193</v>
      </c>
    </row>
    <row r="65" spans="1:17" ht="32.25">
      <c r="A65" t="s">
        <v>205</v>
      </c>
      <c r="B65">
        <v>193</v>
      </c>
      <c r="C65">
        <f t="shared" si="0"/>
        <v>1.93</v>
      </c>
      <c r="D65">
        <v>80</v>
      </c>
      <c r="E65" s="4">
        <f t="shared" si="1"/>
        <v>21.477086633198208</v>
      </c>
      <c r="F65" s="4">
        <f t="shared" si="2"/>
        <v>-11.852979046637099</v>
      </c>
      <c r="G65" s="4">
        <f t="shared" si="3"/>
        <v>45</v>
      </c>
      <c r="H65" t="s">
        <v>37</v>
      </c>
      <c r="I65" t="s">
        <v>19</v>
      </c>
      <c r="J65" t="s">
        <v>40</v>
      </c>
      <c r="K65">
        <v>102</v>
      </c>
      <c r="L65">
        <f t="shared" si="4"/>
        <v>37230</v>
      </c>
      <c r="N65" t="s">
        <v>206</v>
      </c>
      <c r="O65" t="s">
        <v>22</v>
      </c>
      <c r="P65" s="4" t="str" cm="1">
        <f t="array" ref="P65">INDEX(_xlfn.TEXTSPLIT($Q65,{","," "}),1)</f>
        <v>Attack of the Clones</v>
      </c>
      <c r="Q65" t="s">
        <v>199</v>
      </c>
    </row>
    <row r="66" spans="1:17" ht="32.25">
      <c r="A66" t="s">
        <v>207</v>
      </c>
      <c r="B66">
        <v>191</v>
      </c>
      <c r="C66">
        <f t="shared" si="0"/>
        <v>1.91</v>
      </c>
      <c r="D66" t="s">
        <v>25</v>
      </c>
      <c r="E66" s="4">
        <f t="shared" si="1"/>
        <v>0</v>
      </c>
      <c r="F66" s="4">
        <f t="shared" si="2"/>
        <v>-33.330065679835307</v>
      </c>
      <c r="G66" s="4">
        <f t="shared" si="3"/>
        <v>60</v>
      </c>
      <c r="H66" t="s">
        <v>52</v>
      </c>
      <c r="I66" t="s">
        <v>208</v>
      </c>
      <c r="J66" t="s">
        <v>40</v>
      </c>
      <c r="K66">
        <v>67</v>
      </c>
      <c r="L66">
        <f t="shared" si="4"/>
        <v>24455</v>
      </c>
      <c r="N66" t="s">
        <v>42</v>
      </c>
      <c r="O66" t="s">
        <v>22</v>
      </c>
      <c r="P66" s="4" t="str" cm="1">
        <f t="array" ref="P66">INDEX(_xlfn.TEXTSPLIT($Q66,{","," "}),1)</f>
        <v>Attack of the Clones</v>
      </c>
      <c r="Q66" t="s">
        <v>199</v>
      </c>
    </row>
    <row r="67" spans="1:17" ht="32.25">
      <c r="A67" t="s">
        <v>209</v>
      </c>
      <c r="B67">
        <v>183</v>
      </c>
      <c r="C67">
        <f t="shared" ref="C67:C88" si="5">$B67/100</f>
        <v>1.83</v>
      </c>
      <c r="D67">
        <v>79</v>
      </c>
      <c r="E67" s="4">
        <f t="shared" ref="E67:E88" si="6">IF(OR($D67="NA",$B67="NA"),0,$D67/($C67^2))</f>
        <v>23.589835468362743</v>
      </c>
      <c r="F67" s="4">
        <f t="shared" ref="F67:F88" si="7">$E67-$E$5</f>
        <v>-9.7402302114725643</v>
      </c>
      <c r="G67" s="4">
        <f t="shared" ref="G67:G88" si="8">RANK($E67,$E$2:$E$88)</f>
        <v>37</v>
      </c>
      <c r="H67" t="s">
        <v>52</v>
      </c>
      <c r="I67" t="s">
        <v>208</v>
      </c>
      <c r="J67" t="s">
        <v>40</v>
      </c>
      <c r="K67">
        <v>66</v>
      </c>
      <c r="L67">
        <f t="shared" ref="L67:L88" si="9">$K67*365</f>
        <v>24090</v>
      </c>
      <c r="N67" t="s">
        <v>210</v>
      </c>
      <c r="O67" t="s">
        <v>22</v>
      </c>
      <c r="P67" s="4" t="str" cm="1">
        <f t="array" ref="P67">INDEX(_xlfn.TEXTSPLIT($Q67,{","," "}),1)</f>
        <v>Attack of the Clones</v>
      </c>
      <c r="Q67" t="s">
        <v>193</v>
      </c>
    </row>
    <row r="68" spans="1:17" ht="32.25">
      <c r="A68" t="s">
        <v>211</v>
      </c>
      <c r="B68">
        <v>168</v>
      </c>
      <c r="C68">
        <f t="shared" si="5"/>
        <v>1.68</v>
      </c>
      <c r="D68">
        <v>55</v>
      </c>
      <c r="E68" s="4">
        <f t="shared" si="6"/>
        <v>19.486961451247168</v>
      </c>
      <c r="F68" s="4">
        <f t="shared" si="7"/>
        <v>-13.843104228588139</v>
      </c>
      <c r="G68" s="4">
        <f t="shared" si="8"/>
        <v>47</v>
      </c>
      <c r="H68" t="s">
        <v>212</v>
      </c>
      <c r="I68" t="s">
        <v>213</v>
      </c>
      <c r="J68" t="s">
        <v>27</v>
      </c>
      <c r="K68" t="s">
        <v>25</v>
      </c>
      <c r="L68" t="e">
        <f t="shared" si="9"/>
        <v>#VALUE!</v>
      </c>
      <c r="N68" t="s">
        <v>214</v>
      </c>
      <c r="O68" t="s">
        <v>215</v>
      </c>
      <c r="P68" s="4" t="str" cm="1">
        <f t="array" ref="P68">INDEX(_xlfn.TEXTSPLIT($Q68,{","," "}),1)</f>
        <v>Attack of the Clones</v>
      </c>
      <c r="Q68" t="s">
        <v>193</v>
      </c>
    </row>
    <row r="69" spans="1:17" ht="32.25">
      <c r="A69" t="s">
        <v>216</v>
      </c>
      <c r="B69">
        <v>198</v>
      </c>
      <c r="C69">
        <f t="shared" si="5"/>
        <v>1.98</v>
      </c>
      <c r="D69">
        <v>102</v>
      </c>
      <c r="E69" s="4">
        <f t="shared" si="6"/>
        <v>26.017753290480563</v>
      </c>
      <c r="F69" s="4">
        <f t="shared" si="7"/>
        <v>-7.3123123893547444</v>
      </c>
      <c r="G69" s="4">
        <f t="shared" si="8"/>
        <v>19</v>
      </c>
      <c r="H69" t="s">
        <v>36</v>
      </c>
      <c r="I69" t="s">
        <v>40</v>
      </c>
      <c r="J69" t="s">
        <v>27</v>
      </c>
      <c r="K69" t="s">
        <v>25</v>
      </c>
      <c r="L69" t="e">
        <f t="shared" si="9"/>
        <v>#VALUE!</v>
      </c>
      <c r="N69" t="s">
        <v>217</v>
      </c>
      <c r="O69" t="s">
        <v>218</v>
      </c>
      <c r="P69" s="4" t="str" cm="1">
        <f t="array" ref="P69">INDEX(_xlfn.TEXTSPLIT($Q69,{","," "}),1)</f>
        <v>Attack of the Clones</v>
      </c>
      <c r="Q69" t="s">
        <v>193</v>
      </c>
    </row>
    <row r="70" spans="1:17" ht="32.25">
      <c r="A70" t="s">
        <v>219</v>
      </c>
      <c r="B70">
        <v>229</v>
      </c>
      <c r="C70">
        <f t="shared" si="5"/>
        <v>2.29</v>
      </c>
      <c r="D70">
        <v>88</v>
      </c>
      <c r="E70" s="4">
        <f t="shared" si="6"/>
        <v>16.780763143342039</v>
      </c>
      <c r="F70" s="4">
        <f t="shared" si="7"/>
        <v>-16.549302536493268</v>
      </c>
      <c r="G70" s="4">
        <f t="shared" si="8"/>
        <v>54</v>
      </c>
      <c r="H70" t="s">
        <v>36</v>
      </c>
      <c r="I70" t="s">
        <v>89</v>
      </c>
      <c r="J70" t="s">
        <v>52</v>
      </c>
      <c r="K70" t="s">
        <v>25</v>
      </c>
      <c r="L70" t="e">
        <f t="shared" si="9"/>
        <v>#VALUE!</v>
      </c>
      <c r="N70" t="s">
        <v>93</v>
      </c>
      <c r="O70" t="s">
        <v>220</v>
      </c>
      <c r="P70" s="4" t="str" cm="1">
        <f t="array" ref="P70">INDEX(_xlfn.TEXTSPLIT($Q70,{","," "}),1)</f>
        <v>Attack of the Clones</v>
      </c>
      <c r="Q70" t="s">
        <v>193</v>
      </c>
    </row>
    <row r="71" spans="1:17" ht="32.25">
      <c r="A71" t="s">
        <v>221</v>
      </c>
      <c r="B71">
        <v>213</v>
      </c>
      <c r="C71">
        <f t="shared" si="5"/>
        <v>2.13</v>
      </c>
      <c r="D71" t="s">
        <v>25</v>
      </c>
      <c r="E71" s="4">
        <f t="shared" si="6"/>
        <v>0</v>
      </c>
      <c r="F71" s="4">
        <f t="shared" si="7"/>
        <v>-33.330065679835307</v>
      </c>
      <c r="G71" s="4">
        <f t="shared" si="8"/>
        <v>60</v>
      </c>
      <c r="H71" t="s">
        <v>36</v>
      </c>
      <c r="I71" t="s">
        <v>89</v>
      </c>
      <c r="J71" t="s">
        <v>52</v>
      </c>
      <c r="K71" t="s">
        <v>25</v>
      </c>
      <c r="L71" t="e">
        <f t="shared" si="9"/>
        <v>#VALUE!</v>
      </c>
      <c r="N71" t="s">
        <v>93</v>
      </c>
      <c r="O71" t="s">
        <v>220</v>
      </c>
      <c r="P71" s="4" t="str" cm="1">
        <f t="array" ref="P71">INDEX(_xlfn.TEXTSPLIT($Q71,{","," "}),1)</f>
        <v>Attack of the Clones</v>
      </c>
      <c r="Q71" t="s">
        <v>193</v>
      </c>
    </row>
    <row r="72" spans="1:17" ht="32.25">
      <c r="A72" t="s">
        <v>222</v>
      </c>
      <c r="B72">
        <v>167</v>
      </c>
      <c r="C72">
        <f t="shared" si="5"/>
        <v>1.67</v>
      </c>
      <c r="D72" t="s">
        <v>25</v>
      </c>
      <c r="E72" s="4">
        <f t="shared" si="6"/>
        <v>0</v>
      </c>
      <c r="F72" s="4">
        <f t="shared" si="7"/>
        <v>-33.330065679835307</v>
      </c>
      <c r="G72" s="4">
        <f t="shared" si="8"/>
        <v>60</v>
      </c>
      <c r="H72" t="s">
        <v>37</v>
      </c>
      <c r="I72" t="s">
        <v>19</v>
      </c>
      <c r="J72" t="s">
        <v>20</v>
      </c>
      <c r="K72" t="s">
        <v>25</v>
      </c>
      <c r="L72" t="e">
        <f t="shared" si="9"/>
        <v>#VALUE!</v>
      </c>
      <c r="N72" t="s">
        <v>130</v>
      </c>
      <c r="O72" t="s">
        <v>22</v>
      </c>
      <c r="P72" s="4" t="str" cm="1">
        <f t="array" ref="P72">INDEX(_xlfn.TEXTSPLIT($Q72,{","," "}),1)</f>
        <v>Attack of the Clones</v>
      </c>
      <c r="Q72" t="s">
        <v>193</v>
      </c>
    </row>
    <row r="73" spans="1:17" ht="32.25">
      <c r="A73" t="s">
        <v>223</v>
      </c>
      <c r="B73">
        <v>79</v>
      </c>
      <c r="C73">
        <f t="shared" si="5"/>
        <v>0.79</v>
      </c>
      <c r="D73">
        <v>15</v>
      </c>
      <c r="E73" s="4">
        <f t="shared" si="6"/>
        <v>24.034609838166958</v>
      </c>
      <c r="F73" s="4">
        <f t="shared" si="7"/>
        <v>-9.2954558416683497</v>
      </c>
      <c r="G73" s="4">
        <f t="shared" si="8"/>
        <v>32</v>
      </c>
      <c r="H73" t="s">
        <v>36</v>
      </c>
      <c r="I73" t="s">
        <v>224</v>
      </c>
      <c r="J73" t="s">
        <v>64</v>
      </c>
      <c r="K73" t="s">
        <v>25</v>
      </c>
      <c r="L73" t="e">
        <f t="shared" si="9"/>
        <v>#VALUE!</v>
      </c>
      <c r="N73" t="s">
        <v>225</v>
      </c>
      <c r="O73" t="s">
        <v>226</v>
      </c>
      <c r="P73" s="4" t="str" cm="1">
        <f t="array" ref="P73">INDEX(_xlfn.TEXTSPLIT($Q73,{","," "}),1)</f>
        <v>The Phantom Menace</v>
      </c>
      <c r="Q73" t="s">
        <v>124</v>
      </c>
    </row>
    <row r="74" spans="1:17" ht="32.25">
      <c r="A74" t="s">
        <v>227</v>
      </c>
      <c r="B74">
        <v>96</v>
      </c>
      <c r="C74">
        <f t="shared" si="5"/>
        <v>0.96</v>
      </c>
      <c r="D74" t="s">
        <v>25</v>
      </c>
      <c r="E74" s="4">
        <f t="shared" si="6"/>
        <v>0</v>
      </c>
      <c r="F74" s="4">
        <f t="shared" si="7"/>
        <v>-33.330065679835307</v>
      </c>
      <c r="G74" s="4">
        <f t="shared" si="8"/>
        <v>60</v>
      </c>
      <c r="H74" t="s">
        <v>36</v>
      </c>
      <c r="I74" t="s">
        <v>228</v>
      </c>
      <c r="J74" t="s">
        <v>229</v>
      </c>
      <c r="K74" t="s">
        <v>25</v>
      </c>
      <c r="L74" t="e">
        <f t="shared" si="9"/>
        <v>#VALUE!</v>
      </c>
      <c r="N74" t="s">
        <v>25</v>
      </c>
      <c r="O74" t="s">
        <v>25</v>
      </c>
      <c r="P74" s="4" t="str" cm="1">
        <f t="array" ref="P74">INDEX(_xlfn.TEXTSPLIT($Q74,{","," "}),1)</f>
        <v>Attack of the Clones</v>
      </c>
      <c r="Q74" t="s">
        <v>199</v>
      </c>
    </row>
    <row r="75" spans="1:17" ht="32.25">
      <c r="A75" t="s">
        <v>230</v>
      </c>
      <c r="B75">
        <v>193</v>
      </c>
      <c r="C75">
        <f t="shared" si="5"/>
        <v>1.93</v>
      </c>
      <c r="D75">
        <v>48</v>
      </c>
      <c r="E75" s="4">
        <f t="shared" si="6"/>
        <v>12.886251979918924</v>
      </c>
      <c r="F75" s="4">
        <f t="shared" si="7"/>
        <v>-20.443813699916383</v>
      </c>
      <c r="G75" s="4">
        <f t="shared" si="8"/>
        <v>59</v>
      </c>
      <c r="H75" t="s">
        <v>36</v>
      </c>
      <c r="I75" t="s">
        <v>231</v>
      </c>
      <c r="J75" t="s">
        <v>64</v>
      </c>
      <c r="K75" t="s">
        <v>25</v>
      </c>
      <c r="L75" t="e">
        <f t="shared" si="9"/>
        <v>#VALUE!</v>
      </c>
      <c r="N75" t="s">
        <v>232</v>
      </c>
      <c r="O75" t="s">
        <v>233</v>
      </c>
      <c r="P75" s="4" t="str" cm="1">
        <f t="array" ref="P75">INDEX(_xlfn.TEXTSPLIT($Q75,{","," "}),1)</f>
        <v>Attack of the Clones</v>
      </c>
      <c r="Q75" t="s">
        <v>193</v>
      </c>
    </row>
    <row r="76" spans="1:17" ht="32.25">
      <c r="A76" t="s">
        <v>234</v>
      </c>
      <c r="B76">
        <v>191</v>
      </c>
      <c r="C76">
        <f t="shared" si="5"/>
        <v>1.91</v>
      </c>
      <c r="D76" t="s">
        <v>25</v>
      </c>
      <c r="E76" s="4">
        <f t="shared" si="6"/>
        <v>0</v>
      </c>
      <c r="F76" s="4">
        <f t="shared" si="7"/>
        <v>-33.330065679835307</v>
      </c>
      <c r="G76" s="4">
        <f t="shared" si="8"/>
        <v>60</v>
      </c>
      <c r="H76" t="s">
        <v>36</v>
      </c>
      <c r="I76" t="s">
        <v>89</v>
      </c>
      <c r="J76" t="s">
        <v>26</v>
      </c>
      <c r="K76" t="s">
        <v>25</v>
      </c>
      <c r="L76" t="e">
        <f t="shared" si="9"/>
        <v>#VALUE!</v>
      </c>
      <c r="N76" t="s">
        <v>235</v>
      </c>
      <c r="O76" t="s">
        <v>236</v>
      </c>
      <c r="P76" s="4" t="str" cm="1">
        <f t="array" ref="P76">INDEX(_xlfn.TEXTSPLIT($Q76,{","," "}),1)</f>
        <v>Attack of the Clones</v>
      </c>
      <c r="Q76" t="s">
        <v>193</v>
      </c>
    </row>
    <row r="77" spans="1:17" ht="32.25">
      <c r="A77" t="s">
        <v>237</v>
      </c>
      <c r="B77">
        <v>178</v>
      </c>
      <c r="C77">
        <f t="shared" si="5"/>
        <v>1.78</v>
      </c>
      <c r="D77">
        <v>57</v>
      </c>
      <c r="E77" s="4">
        <f t="shared" si="6"/>
        <v>17.99015275849009</v>
      </c>
      <c r="F77" s="4">
        <f t="shared" si="7"/>
        <v>-15.339912921345217</v>
      </c>
      <c r="G77" s="4">
        <f t="shared" si="8"/>
        <v>51</v>
      </c>
      <c r="H77" t="s">
        <v>36</v>
      </c>
      <c r="I77" t="s">
        <v>238</v>
      </c>
      <c r="J77" t="s">
        <v>52</v>
      </c>
      <c r="K77" t="s">
        <v>25</v>
      </c>
      <c r="L77" t="e">
        <f t="shared" si="9"/>
        <v>#VALUE!</v>
      </c>
      <c r="N77" t="s">
        <v>239</v>
      </c>
      <c r="O77" t="s">
        <v>240</v>
      </c>
      <c r="P77" s="4" t="str" cm="1">
        <f t="array" ref="P77">INDEX(_xlfn.TEXTSPLIT($Q77,{","," "}),1)</f>
        <v>Attack of the Clones</v>
      </c>
      <c r="Q77" t="s">
        <v>199</v>
      </c>
    </row>
    <row r="78" spans="1:17" ht="32.25">
      <c r="A78" t="s">
        <v>241</v>
      </c>
      <c r="B78">
        <v>216</v>
      </c>
      <c r="C78">
        <f t="shared" si="5"/>
        <v>2.16</v>
      </c>
      <c r="D78">
        <v>159</v>
      </c>
      <c r="E78" s="4">
        <f t="shared" si="6"/>
        <v>34.079218106995881</v>
      </c>
      <c r="F78" s="4">
        <f t="shared" si="7"/>
        <v>0.74915242716057406</v>
      </c>
      <c r="G78" s="4">
        <f t="shared" si="8"/>
        <v>7</v>
      </c>
      <c r="H78" t="s">
        <v>36</v>
      </c>
      <c r="I78" t="s">
        <v>242</v>
      </c>
      <c r="J78" t="s">
        <v>243</v>
      </c>
      <c r="K78" t="s">
        <v>25</v>
      </c>
      <c r="L78" t="e">
        <f t="shared" si="9"/>
        <v>#VALUE!</v>
      </c>
      <c r="N78" t="s">
        <v>244</v>
      </c>
      <c r="O78" t="s">
        <v>245</v>
      </c>
      <c r="P78" s="4" t="str" cm="1">
        <f t="array" ref="P78">INDEX(_xlfn.TEXTSPLIT($Q78,{","," "}),1)</f>
        <v>Revenge of the Sith</v>
      </c>
      <c r="Q78" t="s">
        <v>246</v>
      </c>
    </row>
    <row r="79" spans="1:17" ht="32.25">
      <c r="A79" t="s">
        <v>247</v>
      </c>
      <c r="B79">
        <v>234</v>
      </c>
      <c r="C79">
        <f t="shared" si="5"/>
        <v>2.34</v>
      </c>
      <c r="D79">
        <v>136</v>
      </c>
      <c r="E79" s="4">
        <f t="shared" si="6"/>
        <v>24.837460734896638</v>
      </c>
      <c r="F79" s="4">
        <f t="shared" si="7"/>
        <v>-8.4926049449386696</v>
      </c>
      <c r="G79" s="4">
        <f t="shared" si="8"/>
        <v>26</v>
      </c>
      <c r="H79" t="s">
        <v>40</v>
      </c>
      <c r="I79" t="s">
        <v>40</v>
      </c>
      <c r="J79" t="s">
        <v>20</v>
      </c>
      <c r="K79" t="s">
        <v>25</v>
      </c>
      <c r="L79" t="e">
        <f t="shared" si="9"/>
        <v>#VALUE!</v>
      </c>
      <c r="N79" t="s">
        <v>65</v>
      </c>
      <c r="O79" t="s">
        <v>66</v>
      </c>
      <c r="P79" s="4" t="str" cm="1">
        <f t="array" ref="P79">INDEX(_xlfn.TEXTSPLIT($Q79,{","," "}),1)</f>
        <v>Revenge of the Sith</v>
      </c>
      <c r="Q79" t="s">
        <v>246</v>
      </c>
    </row>
    <row r="80" spans="1:17" ht="32.25">
      <c r="A80" t="s">
        <v>248</v>
      </c>
      <c r="B80">
        <v>188</v>
      </c>
      <c r="C80">
        <f t="shared" si="5"/>
        <v>1.88</v>
      </c>
      <c r="D80">
        <v>79</v>
      </c>
      <c r="E80" s="4">
        <f t="shared" si="6"/>
        <v>22.351742870076958</v>
      </c>
      <c r="F80" s="4">
        <f t="shared" si="7"/>
        <v>-10.97832280975835</v>
      </c>
      <c r="G80" s="4">
        <f t="shared" si="8"/>
        <v>42</v>
      </c>
      <c r="H80" t="s">
        <v>40</v>
      </c>
      <c r="I80" t="s">
        <v>41</v>
      </c>
      <c r="J80" t="s">
        <v>40</v>
      </c>
      <c r="K80" t="s">
        <v>25</v>
      </c>
      <c r="L80" t="e">
        <f t="shared" si="9"/>
        <v>#VALUE!</v>
      </c>
      <c r="N80" t="s">
        <v>42</v>
      </c>
      <c r="O80" t="s">
        <v>22</v>
      </c>
      <c r="P80" s="4" t="str" cm="1">
        <f t="array" ref="P80">INDEX(_xlfn.TEXTSPLIT($Q80,{","," "}),1)</f>
        <v>Revenge of the Sith</v>
      </c>
      <c r="Q80" t="s">
        <v>62</v>
      </c>
    </row>
    <row r="81" spans="1:17" ht="32.25">
      <c r="A81" t="s">
        <v>249</v>
      </c>
      <c r="B81">
        <v>178</v>
      </c>
      <c r="C81">
        <f t="shared" si="5"/>
        <v>1.78</v>
      </c>
      <c r="D81">
        <v>48</v>
      </c>
      <c r="E81" s="4">
        <f t="shared" si="6"/>
        <v>15.149602322939023</v>
      </c>
      <c r="F81" s="4">
        <f t="shared" si="7"/>
        <v>-18.180463356896283</v>
      </c>
      <c r="G81" s="4">
        <f t="shared" si="8"/>
        <v>57</v>
      </c>
      <c r="H81" t="s">
        <v>36</v>
      </c>
      <c r="I81" t="s">
        <v>90</v>
      </c>
      <c r="J81" t="s">
        <v>37</v>
      </c>
      <c r="K81" t="s">
        <v>25</v>
      </c>
      <c r="L81" t="e">
        <f t="shared" si="9"/>
        <v>#VALUE!</v>
      </c>
      <c r="N81" t="s">
        <v>250</v>
      </c>
      <c r="O81" t="s">
        <v>25</v>
      </c>
      <c r="P81" s="4" t="str" cm="1">
        <f t="array" ref="P81">INDEX(_xlfn.TEXTSPLIT($Q81,{","," "}),1)</f>
        <v>Attack of the Clones</v>
      </c>
      <c r="Q81" t="s">
        <v>199</v>
      </c>
    </row>
    <row r="82" spans="1:17" ht="32.25">
      <c r="A82" t="s">
        <v>251</v>
      </c>
      <c r="B82">
        <v>206</v>
      </c>
      <c r="C82">
        <f t="shared" si="5"/>
        <v>2.06</v>
      </c>
      <c r="D82">
        <v>80</v>
      </c>
      <c r="E82" s="4">
        <f t="shared" si="6"/>
        <v>18.851918182675089</v>
      </c>
      <c r="F82" s="4">
        <f t="shared" si="7"/>
        <v>-14.478147497160219</v>
      </c>
      <c r="G82" s="4">
        <f t="shared" si="8"/>
        <v>49</v>
      </c>
      <c r="H82" t="s">
        <v>36</v>
      </c>
      <c r="I82" t="s">
        <v>89</v>
      </c>
      <c r="J82" t="s">
        <v>52</v>
      </c>
      <c r="K82" t="s">
        <v>25</v>
      </c>
      <c r="L82" t="e">
        <f t="shared" si="9"/>
        <v>#VALUE!</v>
      </c>
      <c r="N82" t="s">
        <v>252</v>
      </c>
      <c r="O82" t="s">
        <v>253</v>
      </c>
      <c r="P82" s="4" t="str" cm="1">
        <f t="array" ref="P82">INDEX(_xlfn.TEXTSPLIT($Q82,{","," "}),1)</f>
        <v>Revenge of the Sith</v>
      </c>
      <c r="Q82" t="s">
        <v>246</v>
      </c>
    </row>
    <row r="83" spans="1:17" ht="32.25">
      <c r="A83" t="s">
        <v>254</v>
      </c>
      <c r="B83" t="s">
        <v>25</v>
      </c>
      <c r="C83" t="e">
        <f t="shared" si="5"/>
        <v>#VALUE!</v>
      </c>
      <c r="D83" t="s">
        <v>25</v>
      </c>
      <c r="E83" s="4">
        <f t="shared" si="6"/>
        <v>0</v>
      </c>
      <c r="F83" s="4">
        <f t="shared" si="7"/>
        <v>-33.330065679835307</v>
      </c>
      <c r="G83" s="4">
        <f t="shared" si="8"/>
        <v>60</v>
      </c>
      <c r="H83" t="s">
        <v>52</v>
      </c>
      <c r="I83" t="s">
        <v>102</v>
      </c>
      <c r="J83" t="s">
        <v>102</v>
      </c>
      <c r="K83" t="s">
        <v>25</v>
      </c>
      <c r="L83" t="e">
        <f t="shared" si="9"/>
        <v>#VALUE!</v>
      </c>
      <c r="N83" t="s">
        <v>25</v>
      </c>
      <c r="O83" t="s">
        <v>22</v>
      </c>
      <c r="P83" s="4" t="str" cm="1">
        <f t="array" ref="P83">INDEX(_xlfn.TEXTSPLIT($Q83,{","," "}),1)</f>
        <v>The Force Awakens</v>
      </c>
      <c r="Q83" t="s">
        <v>255</v>
      </c>
    </row>
    <row r="84" spans="1:17" ht="32.25">
      <c r="A84" t="s">
        <v>256</v>
      </c>
      <c r="B84" t="s">
        <v>25</v>
      </c>
      <c r="C84" t="e">
        <f t="shared" si="5"/>
        <v>#VALUE!</v>
      </c>
      <c r="D84" t="s">
        <v>25</v>
      </c>
      <c r="E84" s="4">
        <f t="shared" si="6"/>
        <v>0</v>
      </c>
      <c r="F84" s="4">
        <f t="shared" si="7"/>
        <v>-33.330065679835307</v>
      </c>
      <c r="G84" s="4">
        <f t="shared" si="8"/>
        <v>60</v>
      </c>
      <c r="H84" t="s">
        <v>40</v>
      </c>
      <c r="I84" t="s">
        <v>41</v>
      </c>
      <c r="J84" t="s">
        <v>81</v>
      </c>
      <c r="K84" t="s">
        <v>25</v>
      </c>
      <c r="L84" t="e">
        <f t="shared" si="9"/>
        <v>#VALUE!</v>
      </c>
      <c r="N84" t="s">
        <v>25</v>
      </c>
      <c r="O84" t="s">
        <v>22</v>
      </c>
      <c r="P84" s="4" t="str" cm="1">
        <f t="array" ref="P84">INDEX(_xlfn.TEXTSPLIT($Q84,{","," "}),1)</f>
        <v>The Force Awakens</v>
      </c>
      <c r="Q84" t="s">
        <v>255</v>
      </c>
    </row>
    <row r="85" spans="1:17" ht="32.25">
      <c r="A85" t="s">
        <v>257</v>
      </c>
      <c r="B85" t="s">
        <v>25</v>
      </c>
      <c r="C85" t="e">
        <f t="shared" si="5"/>
        <v>#VALUE!</v>
      </c>
      <c r="D85" t="s">
        <v>25</v>
      </c>
      <c r="E85" s="4">
        <f t="shared" si="6"/>
        <v>0</v>
      </c>
      <c r="F85" s="4">
        <f t="shared" si="7"/>
        <v>-33.330065679835307</v>
      </c>
      <c r="G85" s="4">
        <f t="shared" si="8"/>
        <v>60</v>
      </c>
      <c r="H85" t="s">
        <v>40</v>
      </c>
      <c r="I85" t="s">
        <v>41</v>
      </c>
      <c r="J85" t="s">
        <v>40</v>
      </c>
      <c r="K85" t="s">
        <v>25</v>
      </c>
      <c r="L85" t="e">
        <f t="shared" si="9"/>
        <v>#VALUE!</v>
      </c>
      <c r="N85" t="s">
        <v>25</v>
      </c>
      <c r="O85" t="s">
        <v>22</v>
      </c>
      <c r="P85" s="4" t="str" cm="1">
        <f t="array" ref="P85">INDEX(_xlfn.TEXTSPLIT($Q85,{","," "}),1)</f>
        <v>The Force Awakens</v>
      </c>
      <c r="Q85" t="s">
        <v>255</v>
      </c>
    </row>
    <row r="86" spans="1:17" ht="32.25">
      <c r="A86" t="s">
        <v>258</v>
      </c>
      <c r="B86" t="s">
        <v>25</v>
      </c>
      <c r="C86" t="e">
        <f t="shared" si="5"/>
        <v>#VALUE!</v>
      </c>
      <c r="D86" t="s">
        <v>25</v>
      </c>
      <c r="E86" s="4">
        <f t="shared" si="6"/>
        <v>0</v>
      </c>
      <c r="F86" s="4">
        <f t="shared" si="7"/>
        <v>-33.330065679835307</v>
      </c>
      <c r="G86" s="4">
        <f t="shared" si="8"/>
        <v>60</v>
      </c>
      <c r="H86" t="s">
        <v>36</v>
      </c>
      <c r="I86" t="s">
        <v>36</v>
      </c>
      <c r="J86" t="s">
        <v>52</v>
      </c>
      <c r="K86" t="s">
        <v>25</v>
      </c>
      <c r="L86" t="e">
        <f t="shared" si="9"/>
        <v>#VALUE!</v>
      </c>
      <c r="N86" t="s">
        <v>25</v>
      </c>
      <c r="O86" t="s">
        <v>28</v>
      </c>
      <c r="P86" s="4" t="str" cm="1">
        <f t="array" ref="P86">INDEX(_xlfn.TEXTSPLIT($Q86,{","," "}),1)</f>
        <v>The Force Awakens</v>
      </c>
      <c r="Q86" t="s">
        <v>255</v>
      </c>
    </row>
    <row r="87" spans="1:17" ht="32.25">
      <c r="A87" t="s">
        <v>259</v>
      </c>
      <c r="B87" t="s">
        <v>25</v>
      </c>
      <c r="C87" t="e">
        <f t="shared" si="5"/>
        <v>#VALUE!</v>
      </c>
      <c r="D87" t="s">
        <v>25</v>
      </c>
      <c r="E87" s="4">
        <f t="shared" si="6"/>
        <v>0</v>
      </c>
      <c r="F87" s="4">
        <f t="shared" si="7"/>
        <v>-33.330065679835307</v>
      </c>
      <c r="G87" s="4">
        <f t="shared" si="8"/>
        <v>60</v>
      </c>
      <c r="H87" t="s">
        <v>64</v>
      </c>
      <c r="I87" t="s">
        <v>64</v>
      </c>
      <c r="J87" t="s">
        <v>64</v>
      </c>
      <c r="K87" t="s">
        <v>25</v>
      </c>
      <c r="L87" t="e">
        <f t="shared" si="9"/>
        <v>#VALUE!</v>
      </c>
      <c r="N87" t="s">
        <v>25</v>
      </c>
      <c r="O87" t="s">
        <v>25</v>
      </c>
      <c r="P87" s="4" t="str" cm="1">
        <f t="array" ref="P87">INDEX(_xlfn.TEXTSPLIT($Q87,{","," "}),1)</f>
        <v>The Force Awakens</v>
      </c>
      <c r="Q87" t="s">
        <v>255</v>
      </c>
    </row>
    <row r="88" spans="1:17" ht="32.25">
      <c r="A88" t="s">
        <v>260</v>
      </c>
      <c r="B88">
        <v>165</v>
      </c>
      <c r="C88">
        <f t="shared" si="5"/>
        <v>1.65</v>
      </c>
      <c r="D88">
        <v>45</v>
      </c>
      <c r="E88" s="4">
        <f t="shared" si="6"/>
        <v>16.528925619834713</v>
      </c>
      <c r="F88" s="4">
        <f t="shared" si="7"/>
        <v>-16.801140060000595</v>
      </c>
      <c r="G88" s="4">
        <f t="shared" si="8"/>
        <v>55</v>
      </c>
      <c r="H88" t="s">
        <v>40</v>
      </c>
      <c r="I88" t="s">
        <v>41</v>
      </c>
      <c r="J88" t="s">
        <v>40</v>
      </c>
      <c r="K88">
        <v>46</v>
      </c>
      <c r="L88">
        <f t="shared" si="9"/>
        <v>16790</v>
      </c>
      <c r="N88" t="s">
        <v>33</v>
      </c>
      <c r="O88" t="s">
        <v>22</v>
      </c>
      <c r="P88" s="4" t="str" cm="1">
        <f t="array" ref="P88">INDEX(_xlfn.TEXTSPLIT($Q88,{","," "}),1)</f>
        <v>Attack of the Clones</v>
      </c>
      <c r="Q88" t="s">
        <v>58</v>
      </c>
    </row>
    <row r="89" spans="1:17"/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AD6C-192F-4898-AF47-D19C02D8C3A5}">
  <dimension ref="A1:B10"/>
  <sheetViews>
    <sheetView workbookViewId="0">
      <selection activeCell="B20" sqref="B20"/>
    </sheetView>
  </sheetViews>
  <sheetFormatPr defaultRowHeight="15.75"/>
  <cols>
    <col min="1" max="1" width="10.375" bestFit="1" customWidth="1"/>
    <col min="2" max="2" width="23.75" bestFit="1" customWidth="1"/>
  </cols>
  <sheetData>
    <row r="1" spans="1:2">
      <c r="A1" s="1" t="s">
        <v>0</v>
      </c>
      <c r="B1" s="2" t="s">
        <v>261</v>
      </c>
    </row>
    <row r="2" spans="1:2">
      <c r="A2" s="1" t="s">
        <v>1</v>
      </c>
      <c r="B2" s="2" t="s">
        <v>262</v>
      </c>
    </row>
    <row r="3" spans="1:2">
      <c r="A3" s="1" t="s">
        <v>3</v>
      </c>
      <c r="B3" s="2" t="s">
        <v>263</v>
      </c>
    </row>
    <row r="4" spans="1:2">
      <c r="A4" s="1" t="s">
        <v>7</v>
      </c>
      <c r="B4" s="2" t="s">
        <v>264</v>
      </c>
    </row>
    <row r="5" spans="1:2">
      <c r="A5" s="1" t="s">
        <v>8</v>
      </c>
      <c r="B5" s="2" t="s">
        <v>265</v>
      </c>
    </row>
    <row r="6" spans="1:2">
      <c r="A6" s="1" t="s">
        <v>9</v>
      </c>
      <c r="B6" s="2" t="s">
        <v>266</v>
      </c>
    </row>
    <row r="7" spans="1:2">
      <c r="A7" s="1" t="s">
        <v>10</v>
      </c>
      <c r="B7" s="2" t="s">
        <v>267</v>
      </c>
    </row>
    <row r="8" spans="1:2">
      <c r="A8" s="1" t="s">
        <v>13</v>
      </c>
      <c r="B8" s="2" t="s">
        <v>268</v>
      </c>
    </row>
    <row r="9" spans="1:2">
      <c r="A9" s="1" t="s">
        <v>14</v>
      </c>
      <c r="B9" s="2" t="s">
        <v>269</v>
      </c>
    </row>
    <row r="10" spans="1:2">
      <c r="A10" s="1" t="s">
        <v>16</v>
      </c>
      <c r="B10" s="2" t="s">
        <v>270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82684-D77A-4A87-900F-85966DA233B8}">
  <dimension ref="A1:C13"/>
  <sheetViews>
    <sheetView tabSelected="1" topLeftCell="A11" workbookViewId="0">
      <selection activeCell="B14" sqref="B14"/>
    </sheetView>
  </sheetViews>
  <sheetFormatPr defaultRowHeight="50.25" customHeight="1"/>
  <cols>
    <col min="2" max="2" width="70.875" customWidth="1"/>
    <col min="3" max="3" width="36" bestFit="1" customWidth="1"/>
  </cols>
  <sheetData>
    <row r="1" spans="1:3" ht="50.25" customHeight="1">
      <c r="A1" s="5" t="s">
        <v>271</v>
      </c>
      <c r="B1" t="s">
        <v>272</v>
      </c>
      <c r="C1" t="s">
        <v>273</v>
      </c>
    </row>
    <row r="2" spans="1:3" ht="50.25" customHeight="1">
      <c r="A2" s="3">
        <v>1</v>
      </c>
      <c r="B2" s="4" t="s">
        <v>274</v>
      </c>
      <c r="C2" t="s">
        <v>275</v>
      </c>
    </row>
    <row r="3" spans="1:3" ht="50.25" customHeight="1">
      <c r="A3">
        <v>2</v>
      </c>
      <c r="B3" s="4" t="s">
        <v>276</v>
      </c>
      <c r="C3" t="s">
        <v>277</v>
      </c>
    </row>
    <row r="4" spans="1:3" ht="50.25" customHeight="1">
      <c r="A4">
        <v>3</v>
      </c>
      <c r="B4" s="4" t="s">
        <v>278</v>
      </c>
      <c r="C4" s="3" t="s">
        <v>279</v>
      </c>
    </row>
    <row r="5" spans="1:3" ht="50.25" customHeight="1">
      <c r="A5">
        <v>4</v>
      </c>
      <c r="B5" s="4" t="s">
        <v>280</v>
      </c>
      <c r="C5" s="3" t="s">
        <v>281</v>
      </c>
    </row>
    <row r="6" spans="1:3" ht="50.25" customHeight="1">
      <c r="A6">
        <v>5</v>
      </c>
      <c r="B6" s="4" t="s">
        <v>282</v>
      </c>
      <c r="C6" s="3" t="s">
        <v>283</v>
      </c>
    </row>
    <row r="7" spans="1:3" ht="50.25" customHeight="1">
      <c r="A7" s="5" t="s">
        <v>284</v>
      </c>
      <c r="B7" t="s">
        <v>272</v>
      </c>
    </row>
    <row r="8" spans="1:3" ht="50.25" customHeight="1">
      <c r="A8" s="3">
        <v>1</v>
      </c>
      <c r="B8" t="s">
        <v>285</v>
      </c>
      <c r="C8" s="3" t="s">
        <v>286</v>
      </c>
    </row>
    <row r="9" spans="1:3" ht="50.25" customHeight="1">
      <c r="A9">
        <v>2</v>
      </c>
      <c r="B9" s="4" t="s">
        <v>287</v>
      </c>
      <c r="C9" s="6" t="s">
        <v>288</v>
      </c>
    </row>
    <row r="10" spans="1:3" ht="50.25" customHeight="1">
      <c r="A10">
        <v>3</v>
      </c>
      <c r="B10" t="s">
        <v>289</v>
      </c>
      <c r="C10" cm="1">
        <f t="array" ref="C10">AVERAGE(_xlfn._xlws.FILTER(starwars!$E2:$E$88,starwars!$E2:$E$88&lt;&gt;0))</f>
        <v>32.048638992833226</v>
      </c>
    </row>
    <row r="11" spans="1:3" ht="50.25" customHeight="1">
      <c r="A11">
        <v>4</v>
      </c>
      <c r="B11" t="s">
        <v>290</v>
      </c>
      <c r="C11" s="3" t="s">
        <v>291</v>
      </c>
    </row>
    <row r="12" spans="1:3" ht="50.25" customHeight="1">
      <c r="A12">
        <v>5</v>
      </c>
      <c r="B12" t="s">
        <v>292</v>
      </c>
      <c r="C12" s="4" t="s">
        <v>293</v>
      </c>
    </row>
    <row r="13" spans="1:3" ht="50.25" customHeight="1">
      <c r="A13" s="7" t="s">
        <v>294</v>
      </c>
      <c r="B13" s="4" t="s">
        <v>295</v>
      </c>
      <c r="C13" s="3" t="s">
        <v>296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Andrew Matzureff</cp:lastModifiedBy>
  <cp:revision/>
  <dcterms:created xsi:type="dcterms:W3CDTF">2020-02-17T22:11:26Z</dcterms:created>
  <dcterms:modified xsi:type="dcterms:W3CDTF">2026-01-14T18:31:35Z</dcterms:modified>
  <cp:category/>
  <cp:contentStatus/>
</cp:coreProperties>
</file>